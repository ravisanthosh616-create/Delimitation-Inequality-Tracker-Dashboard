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2" hidden="1">'Clean Data'!$A$1:$N$501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FFFFFF"/>
      <sz val="14"/>
    </font>
    <font>
      <b val="1"/>
      <color rgb="00FFFFFF"/>
      <sz val="24"/>
    </font>
    <font>
      <i val="1"/>
      <color rgb="00FFFFFF"/>
      <sz val="11"/>
    </font>
    <font>
      <b val="1"/>
      <color rgb="00FFFFFF"/>
      <sz val="12"/>
    </font>
    <font>
      <b val="1"/>
      <color rgb="001F2937"/>
    </font>
    <font>
      <b val="1"/>
      <color rgb="00FFFFFF"/>
      <sz val="10"/>
    </font>
    <font>
      <b val="1"/>
      <color rgb="0017365D"/>
      <sz val="20"/>
    </font>
    <font>
      <i val="1"/>
      <color rgb="00666666"/>
      <sz val="9"/>
    </font>
    <font>
      <color rgb="001F2937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2F8F9D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4" borderId="0" pivotButton="0" quotePrefix="0" xfId="0"/>
    <xf numFmtId="0" fontId="7" fillId="0" borderId="0" pivotButton="0" quotePrefix="0" xfId="0"/>
    <xf numFmtId="0" fontId="7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3" fontId="9" fillId="5" borderId="0" applyAlignment="1" pivotButton="0" quotePrefix="0" xfId="0">
      <alignment horizontal="center" vertical="center"/>
    </xf>
    <xf numFmtId="2" fontId="9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0" fontId="11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Representation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'Dashboard'!$N$3:$N$5</f>
            </numRef>
          </cat>
          <val>
            <numRef>
              <f>'Dashboard'!$O$3:$O$5</f>
            </numRef>
          </val>
        </ser>
        <dLbls>
          <showPercent val="1"/>
          <showLeaderLines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Disparity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'Dashboard'!$Q$3:$Q$12</f>
            </numRef>
          </cat>
          <val>
            <numRef>
              <f>'Dashboard'!$R$3:$R$12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Disparity Index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Representation Status by Constituency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'Analysis'!J3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'Analysis'!$I$4:$I$6</f>
            </numRef>
          </cat>
          <val>
            <numRef>
              <f>'Analysis'!$J$4:$J$6</f>
            </numRef>
          </val>
        </ser>
        <ser>
          <idx val="1"/>
          <order val="1"/>
          <tx>
            <strRef>
              <f>'Analysis'!K3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'Analysis'!$I$4:$I$6</f>
            </numRef>
          </cat>
          <val>
            <numRef>
              <f>'Analysis'!$K$4:$K$6</f>
            </numRef>
          </val>
        </ser>
        <ser>
          <idx val="2"/>
          <order val="2"/>
          <tx>
            <strRef>
              <f>'Analysis'!L3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'Analysis'!$I$4:$I$6</f>
            </numRef>
          </cat>
          <val>
            <numRef>
              <f>'Analysis'!$L$4:$L$6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Constituency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Disparity Records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'Dashboard'!$T$3:$T$12</f>
            </numRef>
          </cat>
          <val>
            <numRef>
              <f>'Dashboard'!$U$3:$U$12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Disparity Index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Constituency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29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elim" displayName="tblDelim" ref="A1:N501" headerRowCount="1">
  <autoFilter ref="A1:N501"/>
  <tableColumns count="14">
    <tableColumn id="1" name="Constituency ID"/>
    <tableColumn id="2" name="State"/>
    <tableColumn id="3" name="Constituency Name"/>
    <tableColumn id="4" name="Constituency Type"/>
    <tableColumn id="5" name="2001 Population (000s)"/>
    <tableColumn id="6" name="Projected Population (000s)"/>
    <tableColumn id="7" name="Voter Turnout (%)"/>
    <tableColumn id="8" name="Representatives"/>
    <tableColumn id="9" name="Ideal Pop Benchmark"/>
    <tableColumn id="10" name="Inequality Ratio"/>
    <tableColumn id="11" name="Disparity Index (%)"/>
    <tableColumn id="12" name="Representation Status"/>
    <tableColumn id="13" name="Population Growth (%)"/>
    <tableColumn id="14" name="Population Gap (000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U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4" customWidth="1" min="4" max="4"/>
    <col width="20" customWidth="1" min="5" max="5"/>
    <col width="20" customWidth="1" min="6" max="6"/>
    <col width="4" customWidth="1" min="7" max="7"/>
    <col width="20" customWidth="1" min="8" max="8"/>
    <col width="20" customWidth="1" min="9" max="9"/>
    <col width="4" customWidth="1" min="10" max="10"/>
    <col width="20" customWidth="1" min="11" max="11"/>
    <col width="20" customWidth="1" min="12" max="12"/>
    <col width="4" customWidth="1" min="13" max="13"/>
    <col hidden="1" width="13" customWidth="1" min="14" max="14"/>
    <col hidden="1" width="13" customWidth="1" min="15" max="15"/>
    <col hidden="1" width="13" customWidth="1" min="17" max="17"/>
    <col hidden="1" width="13" customWidth="1" min="18" max="18"/>
    <col hidden="1" width="13" customWidth="1" min="20" max="20"/>
    <col hidden="1" width="13" customWidth="1" min="21" max="21"/>
  </cols>
  <sheetData>
    <row r="2" ht="38" customHeight="1">
      <c r="B2" s="1" t="inlineStr">
        <is>
          <t>DELIMITATION INEQUALITY TRACKER</t>
        </is>
      </c>
      <c r="N2" t="inlineStr">
        <is>
          <t>Status</t>
        </is>
      </c>
      <c r="O2" t="inlineStr">
        <is>
          <t>Filtered Count</t>
        </is>
      </c>
      <c r="Q2" t="inlineStr">
        <is>
          <t>State</t>
        </is>
      </c>
      <c r="R2" t="inlineStr">
        <is>
          <t>Avg Disparity</t>
        </is>
      </c>
      <c r="T2" t="inlineStr">
        <is>
          <t>Constituency</t>
        </is>
      </c>
      <c r="U2" t="inlineStr">
        <is>
          <t>Disparity</t>
        </is>
      </c>
    </row>
    <row r="3">
      <c r="B3" s="2" t="inlineStr">
        <is>
          <t>Interactive Excel Dashboard | Population • Representation • Disparity Analysis</t>
        </is>
      </c>
      <c r="N3" t="inlineStr">
        <is>
          <t>Balanced</t>
        </is>
      </c>
      <c r="O3">
        <f>SUMPRODUCT((IF($C$6="All",1,--(tblDelim[State]=$C$6)))*(IF($F$6="All",1,--(tblDelim[Constituency Type]=$F$6)))*(tblDelim[Representation Status]=N3)*(IF($I$6="All",1,--(tblDelim[Representation Status]=$I$6))))</f>
        <v/>
      </c>
      <c r="Q3" t="inlineStr">
        <is>
          <t>Andhra Pradesh</t>
        </is>
      </c>
      <c r="R3">
        <f>IFERROR(SUMPRODUCT((tblDelim[State]=Q3)*(IF($F$6="All",1,--(tblDelim[Constituency Type]=$F$6)))*(IF($I$6="All",1,--(tblDelim[Representation Status]=$I$6)))*tblDelim[Disparity Index (%)])/SUMPRODUCT((tblDelim[State]=Q3)*(IF($F$6="All",1,--(tblDelim[Constituency Type]=$F$6)))*(IF($I$6="All",1,--(tblDelim[Representation Status]=$I$6)))),0)</f>
        <v/>
      </c>
      <c r="T3" t="inlineStr">
        <is>
          <t>Tamil_Dist_102</t>
        </is>
      </c>
      <c r="U3" t="n">
        <v>195</v>
      </c>
    </row>
    <row r="4">
      <c r="N4" t="inlineStr">
        <is>
          <t>Under-represented</t>
        </is>
      </c>
      <c r="O4">
        <f>SUMPRODUCT((IF($C$6="All",1,--(tblDelim[State]=$C$6)))*(IF($F$6="All",1,--(tblDelim[Constituency Type]=$F$6)))*(tblDelim[Representation Status]=N4)*(IF($I$6="All",1,--(tblDelim[Representation Status]=$I$6))))</f>
        <v/>
      </c>
      <c r="Q4" t="inlineStr">
        <is>
          <t>Bihar</t>
        </is>
      </c>
      <c r="R4">
        <f>IFERROR(SUMPRODUCT((tblDelim[State]=Q4)*(IF($F$6="All",1,--(tblDelim[Constituency Type]=$F$6)))*(IF($I$6="All",1,--(tblDelim[Representation Status]=$I$6)))*tblDelim[Disparity Index (%)])/SUMPRODUCT((tblDelim[State]=Q4)*(IF($F$6="All",1,--(tblDelim[Constituency Type]=$F$6)))*(IF($I$6="All",1,--(tblDelim[Representation Status]=$I$6)))),0)</f>
        <v/>
      </c>
      <c r="T4" t="inlineStr">
        <is>
          <t>Uttar_Dist_359</t>
        </is>
      </c>
      <c r="U4" t="n">
        <v>192</v>
      </c>
    </row>
    <row r="5">
      <c r="B5" s="3" t="inlineStr">
        <is>
          <t>FILTERS</t>
        </is>
      </c>
      <c r="N5" t="inlineStr">
        <is>
          <t>Over-represented</t>
        </is>
      </c>
      <c r="O5">
        <f>SUMPRODUCT((IF($C$6="All",1,--(tblDelim[State]=$C$6)))*(IF($F$6="All",1,--(tblDelim[Constituency Type]=$F$6)))*(tblDelim[Representation Status]=N5)*(IF($I$6="All",1,--(tblDelim[Representation Status]=$I$6))))</f>
        <v/>
      </c>
      <c r="Q5" t="inlineStr">
        <is>
          <t>Gujarat</t>
        </is>
      </c>
      <c r="R5">
        <f>IFERROR(SUMPRODUCT((tblDelim[State]=Q5)*(IF($F$6="All",1,--(tblDelim[Constituency Type]=$F$6)))*(IF($I$6="All",1,--(tblDelim[Representation Status]=$I$6)))*tblDelim[Disparity Index (%)])/SUMPRODUCT((tblDelim[State]=Q5)*(IF($F$6="All",1,--(tblDelim[Constituency Type]=$F$6)))*(IF($I$6="All",1,--(tblDelim[Representation Status]=$I$6)))),0)</f>
        <v/>
      </c>
      <c r="T5" t="inlineStr">
        <is>
          <t>Bihar_Dist_134</t>
        </is>
      </c>
      <c r="U5" t="n">
        <v>188</v>
      </c>
    </row>
    <row r="6">
      <c r="B6" s="4" t="inlineStr">
        <is>
          <t>State</t>
        </is>
      </c>
      <c r="C6" s="5" t="inlineStr">
        <is>
          <t>All</t>
        </is>
      </c>
      <c r="E6" s="4" t="inlineStr">
        <is>
          <t>Constituency Type</t>
        </is>
      </c>
      <c r="F6" s="5" t="inlineStr">
        <is>
          <t>All</t>
        </is>
      </c>
      <c r="H6" s="4" t="inlineStr">
        <is>
          <t>Representation Status</t>
        </is>
      </c>
      <c r="I6" s="5" t="inlineStr">
        <is>
          <t>All</t>
        </is>
      </c>
      <c r="Q6" t="inlineStr">
        <is>
          <t>Karnataka</t>
        </is>
      </c>
      <c r="R6">
        <f>IFERROR(SUMPRODUCT((tblDelim[State]=Q6)*(IF($F$6="All",1,--(tblDelim[Constituency Type]=$F$6)))*(IF($I$6="All",1,--(tblDelim[Representation Status]=$I$6)))*tblDelim[Disparity Index (%)])/SUMPRODUCT((tblDelim[State]=Q6)*(IF($F$6="All",1,--(tblDelim[Constituency Type]=$F$6)))*(IF($I$6="All",1,--(tblDelim[Representation Status]=$I$6)))),0)</f>
        <v/>
      </c>
      <c r="T6" t="inlineStr">
        <is>
          <t>Andhra_Dist_252</t>
        </is>
      </c>
      <c r="U6" t="n">
        <v>188</v>
      </c>
    </row>
    <row r="7">
      <c r="Q7" t="inlineStr">
        <is>
          <t>Kerala</t>
        </is>
      </c>
      <c r="R7">
        <f>IFERROR(SUMPRODUCT((tblDelim[State]=Q7)*(IF($F$6="All",1,--(tblDelim[Constituency Type]=$F$6)))*(IF($I$6="All",1,--(tblDelim[Representation Status]=$I$6)))*tblDelim[Disparity Index (%)])/SUMPRODUCT((tblDelim[State]=Q7)*(IF($F$6="All",1,--(tblDelim[Constituency Type]=$F$6)))*(IF($I$6="All",1,--(tblDelim[Representation Status]=$I$6)))),0)</f>
        <v/>
      </c>
      <c r="T7" t="inlineStr">
        <is>
          <t>Telangana_Dist_293</t>
        </is>
      </c>
      <c r="U7" t="n">
        <v>188</v>
      </c>
    </row>
    <row r="8">
      <c r="B8" s="6" t="inlineStr">
        <is>
          <t>TOTAL RECORDS</t>
        </is>
      </c>
      <c r="E8" s="6" t="inlineStr">
        <is>
          <t>UNDER-REPRESENTED</t>
        </is>
      </c>
      <c r="H8" s="6" t="inlineStr">
        <is>
          <t>BALANCED</t>
        </is>
      </c>
      <c r="K8" s="6" t="inlineStr">
        <is>
          <t>AVG DISPARITY</t>
        </is>
      </c>
      <c r="Q8" t="inlineStr">
        <is>
          <t>Maharashtra</t>
        </is>
      </c>
      <c r="R8">
        <f>IFERROR(SUMPRODUCT((tblDelim[State]=Q8)*(IF($F$6="All",1,--(tblDelim[Constituency Type]=$F$6)))*(IF($I$6="All",1,--(tblDelim[Representation Status]=$I$6)))*tblDelim[Disparity Index (%)])/SUMPRODUCT((tblDelim[State]=Q8)*(IF($F$6="All",1,--(tblDelim[Constituency Type]=$F$6)))*(IF($I$6="All",1,--(tblDelim[Representation Status]=$I$6)))),0)</f>
        <v/>
      </c>
      <c r="T8" t="inlineStr">
        <is>
          <t>Gujarat_Dist_236</t>
        </is>
      </c>
      <c r="U8" t="n">
        <v>181</v>
      </c>
    </row>
    <row r="9">
      <c r="B9" s="7">
        <f>SUMPRODUCT((IF($C$6="All",1,--(tblDelim[State]=$C$6)))*(IF($F$6="All",1,--(tblDelim[Constituency Type]=$F$6)))*(IF($I$6="All",1,--(tblDelim[Representation Status]=$I$6))))</f>
        <v/>
      </c>
      <c r="E9" s="7">
        <f>SUMPRODUCT((IF($C$6="All",1,--(tblDelim[State]=$C$6)))*(IF($F$6="All",1,--(tblDelim[Constituency Type]=$F$6)))*(tblDelim[Representation Status]="Under-represented")*(IF($I$6="All",1,--(tblDelim[Representation Status]=$I$6))))</f>
        <v/>
      </c>
      <c r="H9" s="7">
        <f>SUMPRODUCT((IF($C$6="All",1,--(tblDelim[State]=$C$6)))*(IF($F$6="All",1,--(tblDelim[Constituency Type]=$F$6)))*(tblDelim[Representation Status]="Balanced")*(IF($I$6="All",1,--(tblDelim[Representation Status]=$I$6))))</f>
        <v/>
      </c>
      <c r="K9" s="8">
        <f>IFERROR(SUMPRODUCT((IF($C$6="All",1,--(tblDelim[State]=$C$6)))*(IF($F$6="All",1,--(tblDelim[Constituency Type]=$F$6)))*(IF($I$6="All",1,--(tblDelim[Representation Status]=$I$6)))*tblDelim[Disparity Index (%)])/SUMPRODUCT((IF($C$6="All",1,--(tblDelim[State]=$C$6)))*(IF($F$6="All",1,--(tblDelim[Constituency Type]=$F$6)))*(IF($I$6="All",1,--(tblDelim[Representation Status]=$I$6)))),0)</f>
        <v/>
      </c>
      <c r="Q9" t="inlineStr">
        <is>
          <t>Tamil Nadu</t>
        </is>
      </c>
      <c r="R9">
        <f>IFERROR(SUMPRODUCT((tblDelim[State]=Q9)*(IF($F$6="All",1,--(tblDelim[Constituency Type]=$F$6)))*(IF($I$6="All",1,--(tblDelim[Representation Status]=$I$6)))*tblDelim[Disparity Index (%)])/SUMPRODUCT((tblDelim[State]=Q9)*(IF($F$6="All",1,--(tblDelim[Constituency Type]=$F$6)))*(IF($I$6="All",1,--(tblDelim[Representation Status]=$I$6)))),0)</f>
        <v/>
      </c>
      <c r="T9" t="inlineStr">
        <is>
          <t>Uttar_Dist_339</t>
        </is>
      </c>
      <c r="U9" t="n">
        <v>180</v>
      </c>
    </row>
    <row r="10">
      <c r="Q10" t="inlineStr">
        <is>
          <t>Telangana</t>
        </is>
      </c>
      <c r="R10">
        <f>IFERROR(SUMPRODUCT((tblDelim[State]=Q10)*(IF($F$6="All",1,--(tblDelim[Constituency Type]=$F$6)))*(IF($I$6="All",1,--(tblDelim[Representation Status]=$I$6)))*tblDelim[Disparity Index (%)])/SUMPRODUCT((tblDelim[State]=Q10)*(IF($F$6="All",1,--(tblDelim[Constituency Type]=$F$6)))*(IF($I$6="All",1,--(tblDelim[Representation Status]=$I$6)))),0)</f>
        <v/>
      </c>
      <c r="T10" t="inlineStr">
        <is>
          <t>Maharashtra_Dist_182</t>
        </is>
      </c>
      <c r="U10" t="n">
        <v>178</v>
      </c>
    </row>
    <row r="11">
      <c r="B11" s="9" t="inlineStr">
        <is>
          <t>Over-represented records are included in the status chart below. Use the filters above to drill down.</t>
        </is>
      </c>
      <c r="Q11" t="inlineStr">
        <is>
          <t>Uttar Pradesh</t>
        </is>
      </c>
      <c r="R11">
        <f>IFERROR(SUMPRODUCT((tblDelim[State]=Q11)*(IF($F$6="All",1,--(tblDelim[Constituency Type]=$F$6)))*(IF($I$6="All",1,--(tblDelim[Representation Status]=$I$6)))*tblDelim[Disparity Index (%)])/SUMPRODUCT((tblDelim[State]=Q11)*(IF($F$6="All",1,--(tblDelim[Constituency Type]=$F$6)))*(IF($I$6="All",1,--(tblDelim[Representation Status]=$I$6)))),0)</f>
        <v/>
      </c>
      <c r="T11" t="inlineStr">
        <is>
          <t>Karnataka_Dist_63</t>
        </is>
      </c>
      <c r="U11" t="n">
        <v>176</v>
      </c>
    </row>
    <row r="12">
      <c r="Q12" t="inlineStr">
        <is>
          <t>West Bengal</t>
        </is>
      </c>
      <c r="R12">
        <f>IFERROR(SUMPRODUCT((tblDelim[State]=Q12)*(IF($F$6="All",1,--(tblDelim[Constituency Type]=$F$6)))*(IF($I$6="All",1,--(tblDelim[Representation Status]=$I$6)))*tblDelim[Disparity Index (%)])/SUMPRODUCT((tblDelim[State]=Q12)*(IF($F$6="All",1,--(tblDelim[Constituency Type]=$F$6)))*(IF($I$6="All",1,--(tblDelim[Representation Status]=$I$6)))),0)</f>
        <v/>
      </c>
      <c r="T12" t="inlineStr">
        <is>
          <t>Telangana_Dist_99</t>
        </is>
      </c>
      <c r="U12" t="n">
        <v>176</v>
      </c>
    </row>
    <row r="47">
      <c r="B47" s="10" t="inlineStr">
        <is>
          <t>How to use: select State, Constituency Type, and Representation Status from the dropdowns. KPI cards and the first two charts update automatically in Excel.</t>
        </is>
      </c>
    </row>
  </sheetData>
  <mergeCells count="13">
    <mergeCell ref="B9:C10"/>
    <mergeCell ref="K9:L10"/>
    <mergeCell ref="E9:F10"/>
    <mergeCell ref="K8:L8"/>
    <mergeCell ref="B11:L11"/>
    <mergeCell ref="B3:L3"/>
    <mergeCell ref="B2:L2"/>
    <mergeCell ref="B5:L5"/>
    <mergeCell ref="B47:L47"/>
    <mergeCell ref="H8:I8"/>
    <mergeCell ref="B8:C8"/>
    <mergeCell ref="E8:F8"/>
    <mergeCell ref="H9:I10"/>
  </mergeCells>
  <dataValidations count="3">
    <dataValidation sqref="C6" showDropDown="0" showInputMessage="0" showErrorMessage="0" allowBlank="0" type="list">
      <formula1>"All,Andhra Pradesh,Bihar,Gujarat,Karnataka,Kerala,Maharashtra,Tamil Nadu,Telangana,Uttar Pradesh,West Bengal"</formula1>
    </dataValidation>
    <dataValidation sqref="F6" showDropDown="0" showInputMessage="0" showErrorMessage="0" allowBlank="0" type="list">
      <formula1>"All,General,SC,ST"</formula1>
    </dataValidation>
    <dataValidation sqref="I6" showDropDown="0" showInputMessage="0" showErrorMessage="0" allowBlank="0" type="list">
      <formula1>"All,Balanced,Under-represented,Over-represented"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8" customWidth="1" min="4" max="4"/>
    <col width="22" customWidth="1" min="5" max="5"/>
    <col width="26" customWidth="1" min="6" max="6"/>
    <col width="18" customWidth="1" min="7" max="7"/>
    <col width="17" customWidth="1" min="8" max="8"/>
    <col width="20" customWidth="1" min="9" max="9"/>
    <col width="18" customWidth="1" min="10" max="10"/>
    <col width="20" customWidth="1" min="11" max="11"/>
    <col width="20" customWidth="1" min="12" max="12"/>
  </cols>
  <sheetData>
    <row r="1">
      <c r="A1" s="11" t="inlineStr">
        <is>
          <t>Delimitation Inequality Tracker — Raw Dataset (500 Entries)</t>
        </is>
      </c>
      <c r="B1" s="11" t="n">
        <v/>
      </c>
      <c r="C1" s="11" t="n">
        <v/>
      </c>
      <c r="D1" s="11" t="n">
        <v/>
      </c>
      <c r="E1" s="11" t="n">
        <v/>
      </c>
      <c r="F1" s="11" t="n">
        <v/>
      </c>
      <c r="G1" s="11" t="n">
        <v/>
      </c>
      <c r="H1" s="11" t="n">
        <v/>
      </c>
      <c r="I1" s="11" t="n">
        <v/>
      </c>
      <c r="J1" s="11" t="n">
        <v/>
      </c>
      <c r="K1" s="11" t="n">
        <v/>
      </c>
      <c r="L1" s="11" t="n">
        <v/>
      </c>
    </row>
    <row r="2">
      <c r="A2" s="11" t="n">
        <v/>
      </c>
      <c r="B2" s="11" t="n">
        <v/>
      </c>
      <c r="C2" s="11" t="n">
        <v/>
      </c>
      <c r="D2" s="11" t="n">
        <v/>
      </c>
      <c r="E2" s="11" t="n">
        <v/>
      </c>
      <c r="F2" s="11" t="n">
        <v/>
      </c>
      <c r="G2" s="11" t="n">
        <v/>
      </c>
      <c r="H2" s="11" t="n">
        <v/>
      </c>
      <c r="I2" s="11" t="n">
        <v/>
      </c>
      <c r="J2" s="11" t="n">
        <v/>
      </c>
      <c r="K2" s="11" t="n">
        <v/>
      </c>
      <c r="L2" s="11" t="n">
        <v/>
      </c>
    </row>
    <row r="3">
      <c r="A3" s="12" t="inlineStr">
        <is>
          <t>Constituency ID</t>
        </is>
      </c>
      <c r="B3" s="12" t="inlineStr">
        <is>
          <t>State</t>
        </is>
      </c>
      <c r="C3" s="12" t="inlineStr">
        <is>
          <t>Constituency Name</t>
        </is>
      </c>
      <c r="D3" s="12" t="inlineStr">
        <is>
          <t>Constituency Type</t>
        </is>
      </c>
      <c r="E3" s="12" t="inlineStr">
        <is>
          <t>2001 Population (000s)</t>
        </is>
      </c>
      <c r="F3" s="12" t="inlineStr">
        <is>
          <t>Projected Population (000s)</t>
        </is>
      </c>
      <c r="G3" s="12" t="inlineStr">
        <is>
          <t>Voter Turnout (%)</t>
        </is>
      </c>
      <c r="H3" s="12" t="inlineStr">
        <is>
          <t>Representatives</t>
        </is>
      </c>
      <c r="I3" s="12" t="inlineStr">
        <is>
          <t>Ideal Pop Benchmark</t>
        </is>
      </c>
      <c r="J3" s="12" t="inlineStr">
        <is>
          <t>Inequality Ratio</t>
        </is>
      </c>
      <c r="K3" s="12" t="inlineStr">
        <is>
          <t>Disparity Index (%)</t>
        </is>
      </c>
      <c r="L3" s="12" t="inlineStr">
        <is>
          <t>Representation Status</t>
        </is>
      </c>
    </row>
    <row r="4">
      <c r="A4" t="inlineStr">
        <is>
          <t>CON-001</t>
        </is>
      </c>
      <c r="B4" t="inlineStr">
        <is>
          <t>Maharashtra</t>
        </is>
      </c>
      <c r="C4" t="inlineStr">
        <is>
          <t>Maharashtra_Dist_1</t>
        </is>
      </c>
      <c r="D4" t="inlineStr">
        <is>
          <t>ST</t>
        </is>
      </c>
      <c r="E4" t="n">
        <v>1799</v>
      </c>
      <c r="F4" t="n">
        <v>2403</v>
      </c>
      <c r="G4" t="n">
        <v>74.27</v>
      </c>
      <c r="H4" t="n">
        <v>1</v>
      </c>
      <c r="I4" t="n">
        <v>2200</v>
      </c>
      <c r="J4" t="n">
        <v>1.09</v>
      </c>
      <c r="K4" t="n">
        <v>9</v>
      </c>
      <c r="L4" t="inlineStr">
        <is>
          <t>Balanced</t>
        </is>
      </c>
    </row>
    <row r="5">
      <c r="A5" t="inlineStr">
        <is>
          <t>CON-002</t>
        </is>
      </c>
      <c r="B5" t="inlineStr">
        <is>
          <t>Kerala</t>
        </is>
      </c>
      <c r="C5" t="inlineStr">
        <is>
          <t>Kerala_Dist_2</t>
        </is>
      </c>
      <c r="D5" t="inlineStr">
        <is>
          <t>General</t>
        </is>
      </c>
      <c r="E5" t="n">
        <v>2136</v>
      </c>
      <c r="F5" t="n">
        <v>2954</v>
      </c>
      <c r="G5" t="n">
        <v>77.31</v>
      </c>
      <c r="H5" t="n">
        <v>1</v>
      </c>
      <c r="I5" t="n">
        <v>2200</v>
      </c>
      <c r="J5" t="n">
        <v>1.34</v>
      </c>
      <c r="K5" t="n">
        <v>34</v>
      </c>
      <c r="L5" t="inlineStr">
        <is>
          <t>Under-represented</t>
        </is>
      </c>
    </row>
    <row r="6">
      <c r="A6" t="inlineStr">
        <is>
          <t>CON-003</t>
        </is>
      </c>
      <c r="B6" t="inlineStr">
        <is>
          <t>West Bengal</t>
        </is>
      </c>
      <c r="C6" t="inlineStr">
        <is>
          <t>West_Dist_3</t>
        </is>
      </c>
      <c r="D6" t="inlineStr">
        <is>
          <t>General</t>
        </is>
      </c>
      <c r="E6" t="n">
        <v>3288</v>
      </c>
      <c r="F6" t="n">
        <v>4409</v>
      </c>
      <c r="G6" t="n">
        <v>77.53</v>
      </c>
      <c r="H6" t="n">
        <v>1</v>
      </c>
      <c r="I6" t="n">
        <v>2200</v>
      </c>
      <c r="J6" t="n">
        <v>2</v>
      </c>
      <c r="K6" t="n">
        <v>100</v>
      </c>
      <c r="L6" t="inlineStr">
        <is>
          <t>Under-represented</t>
        </is>
      </c>
    </row>
    <row r="7">
      <c r="A7" t="inlineStr">
        <is>
          <t>CON-004</t>
        </is>
      </c>
      <c r="B7" t="inlineStr">
        <is>
          <t>Kerala</t>
        </is>
      </c>
      <c r="C7" t="inlineStr">
        <is>
          <t>Kerala_Dist_4</t>
        </is>
      </c>
      <c r="D7" t="inlineStr">
        <is>
          <t>General</t>
        </is>
      </c>
      <c r="E7" t="n">
        <v>3307</v>
      </c>
      <c r="F7" t="n">
        <v>5414</v>
      </c>
      <c r="G7" t="n">
        <v>83.78</v>
      </c>
      <c r="H7" t="n">
        <v>1</v>
      </c>
      <c r="I7" t="n">
        <v>2200</v>
      </c>
      <c r="J7" t="n">
        <v>2.46</v>
      </c>
      <c r="K7" t="n">
        <v>146</v>
      </c>
      <c r="L7" t="inlineStr">
        <is>
          <t>Under-represented</t>
        </is>
      </c>
    </row>
    <row r="8">
      <c r="A8" t="inlineStr">
        <is>
          <t>CON-005</t>
        </is>
      </c>
      <c r="B8" t="inlineStr">
        <is>
          <t>Bihar</t>
        </is>
      </c>
      <c r="C8" t="inlineStr">
        <is>
          <t>Bihar_Dist_5</t>
        </is>
      </c>
      <c r="D8" t="inlineStr">
        <is>
          <t>General</t>
        </is>
      </c>
      <c r="E8" t="n">
        <v>2843</v>
      </c>
      <c r="F8" t="n">
        <v>4679</v>
      </c>
      <c r="G8" t="n">
        <v>66.84</v>
      </c>
      <c r="H8" t="n">
        <v>1</v>
      </c>
      <c r="I8" t="n">
        <v>2200</v>
      </c>
      <c r="J8" t="n">
        <v>2.13</v>
      </c>
      <c r="K8" t="n">
        <v>113</v>
      </c>
      <c r="L8" t="inlineStr">
        <is>
          <t>Under-represented</t>
        </is>
      </c>
    </row>
    <row r="9">
      <c r="A9" t="inlineStr">
        <is>
          <t>CON-006</t>
        </is>
      </c>
      <c r="B9" t="inlineStr">
        <is>
          <t>Gujarat</t>
        </is>
      </c>
      <c r="C9" t="inlineStr">
        <is>
          <t>Gujarat_Dist_6</t>
        </is>
      </c>
      <c r="D9" t="inlineStr">
        <is>
          <t>General</t>
        </is>
      </c>
      <c r="E9" t="n">
        <v>2179</v>
      </c>
      <c r="F9" t="n">
        <v>3367</v>
      </c>
      <c r="G9" t="n">
        <v>66.34999999999999</v>
      </c>
      <c r="H9" t="n">
        <v>1</v>
      </c>
      <c r="I9" t="n">
        <v>2200</v>
      </c>
      <c r="J9" t="n">
        <v>1.53</v>
      </c>
      <c r="K9" t="n">
        <v>53</v>
      </c>
      <c r="L9" t="inlineStr">
        <is>
          <t>Under-represented</t>
        </is>
      </c>
    </row>
    <row r="10">
      <c r="A10" t="inlineStr">
        <is>
          <t>CON-007</t>
        </is>
      </c>
      <c r="B10" t="inlineStr">
        <is>
          <t>Karnataka</t>
        </is>
      </c>
      <c r="C10" t="inlineStr">
        <is>
          <t>Karnataka_Dist_7</t>
        </is>
      </c>
      <c r="D10" t="inlineStr">
        <is>
          <t>General</t>
        </is>
      </c>
      <c r="E10" t="n">
        <v>2626</v>
      </c>
      <c r="F10" t="n">
        <v>3751</v>
      </c>
      <c r="G10" t="n">
        <v>82.97</v>
      </c>
      <c r="H10" t="n">
        <v>1</v>
      </c>
      <c r="I10" t="n">
        <v>2200</v>
      </c>
      <c r="J10" t="n">
        <v>1.71</v>
      </c>
      <c r="K10" t="n">
        <v>71</v>
      </c>
      <c r="L10" t="inlineStr">
        <is>
          <t>Under-represented</t>
        </is>
      </c>
    </row>
    <row r="11">
      <c r="A11" t="inlineStr">
        <is>
          <t>CON-008</t>
        </is>
      </c>
      <c r="B11" t="inlineStr">
        <is>
          <t>Tamil Nadu</t>
        </is>
      </c>
      <c r="C11" t="inlineStr">
        <is>
          <t>Tamil_Dist_8</t>
        </is>
      </c>
      <c r="D11" t="inlineStr">
        <is>
          <t>SC</t>
        </is>
      </c>
      <c r="E11" t="n">
        <v>2364</v>
      </c>
      <c r="F11" t="n">
        <v>3120</v>
      </c>
      <c r="G11" t="n">
        <v>52.49</v>
      </c>
      <c r="H11" t="n">
        <v>1</v>
      </c>
      <c r="I11" t="n">
        <v>2200</v>
      </c>
      <c r="J11" t="n">
        <v>1.42</v>
      </c>
      <c r="K11" t="n">
        <v>42</v>
      </c>
      <c r="L11" t="inlineStr">
        <is>
          <t>Under-represented</t>
        </is>
      </c>
    </row>
    <row r="12">
      <c r="A12" t="inlineStr">
        <is>
          <t>CON-009</t>
        </is>
      </c>
      <c r="B12" t="inlineStr">
        <is>
          <t>Maharashtra</t>
        </is>
      </c>
      <c r="C12" t="inlineStr">
        <is>
          <t>Maharashtra_Dist_9</t>
        </is>
      </c>
      <c r="D12" t="inlineStr">
        <is>
          <t>SC</t>
        </is>
      </c>
      <c r="E12" t="n">
        <v>3746</v>
      </c>
      <c r="F12" t="n">
        <v>4981</v>
      </c>
      <c r="G12" t="n">
        <v>60.96</v>
      </c>
      <c r="H12" t="n">
        <v>1</v>
      </c>
      <c r="I12" t="n">
        <v>2200</v>
      </c>
      <c r="J12" t="n">
        <v>2.26</v>
      </c>
      <c r="K12" t="n">
        <v>126</v>
      </c>
      <c r="L12" t="inlineStr">
        <is>
          <t>Under-represented</t>
        </is>
      </c>
    </row>
    <row r="13">
      <c r="A13" t="inlineStr">
        <is>
          <t>CON-010</t>
        </is>
      </c>
      <c r="B13" t="inlineStr">
        <is>
          <t>Telangana</t>
        </is>
      </c>
      <c r="C13" t="inlineStr">
        <is>
          <t>Telangana_Dist_10</t>
        </is>
      </c>
      <c r="D13" t="inlineStr">
        <is>
          <t>General</t>
        </is>
      </c>
      <c r="E13" t="n">
        <v>3078</v>
      </c>
      <c r="F13" t="n">
        <v>4597</v>
      </c>
      <c r="G13" t="n">
        <v>74.12</v>
      </c>
      <c r="H13" t="n">
        <v>1</v>
      </c>
      <c r="I13" t="n">
        <v>2200</v>
      </c>
      <c r="J13" t="n">
        <v>2.09</v>
      </c>
      <c r="K13" t="n">
        <v>109</v>
      </c>
      <c r="L13" t="inlineStr">
        <is>
          <t>Under-represented</t>
        </is>
      </c>
    </row>
    <row r="14">
      <c r="A14" t="inlineStr">
        <is>
          <t>CON-011</t>
        </is>
      </c>
      <c r="B14" t="inlineStr">
        <is>
          <t>Andhra Pradesh</t>
        </is>
      </c>
      <c r="C14" t="inlineStr">
        <is>
          <t>Andhra_Dist_11</t>
        </is>
      </c>
      <c r="D14" t="inlineStr">
        <is>
          <t>General</t>
        </is>
      </c>
      <c r="E14" t="n">
        <v>2361</v>
      </c>
      <c r="F14" t="n">
        <v>3630</v>
      </c>
      <c r="G14" t="n">
        <v>55.91</v>
      </c>
      <c r="H14" t="n">
        <v>1</v>
      </c>
      <c r="I14" t="n">
        <v>2200</v>
      </c>
      <c r="J14" t="n">
        <v>1.65</v>
      </c>
      <c r="K14" t="n">
        <v>65</v>
      </c>
      <c r="L14" t="inlineStr">
        <is>
          <t>Under-represented</t>
        </is>
      </c>
    </row>
    <row r="15">
      <c r="A15" t="inlineStr">
        <is>
          <t>CON-012</t>
        </is>
      </c>
      <c r="B15" t="inlineStr">
        <is>
          <t>Maharashtra</t>
        </is>
      </c>
      <c r="C15" t="inlineStr">
        <is>
          <t>Maharashtra_Dist_12</t>
        </is>
      </c>
      <c r="D15" t="inlineStr">
        <is>
          <t>General</t>
        </is>
      </c>
      <c r="E15" t="n">
        <v>1740</v>
      </c>
      <c r="F15" t="n">
        <v>2938</v>
      </c>
      <c r="G15" t="n">
        <v>82.84999999999999</v>
      </c>
      <c r="H15" t="n">
        <v>1</v>
      </c>
      <c r="I15" t="n">
        <v>2200</v>
      </c>
      <c r="J15" t="n">
        <v>1.34</v>
      </c>
      <c r="K15" t="n">
        <v>34</v>
      </c>
      <c r="L15" t="inlineStr">
        <is>
          <t>Under-represented</t>
        </is>
      </c>
    </row>
    <row r="16">
      <c r="A16" t="inlineStr">
        <is>
          <t>CON-013</t>
        </is>
      </c>
      <c r="B16" t="inlineStr">
        <is>
          <t>West Bengal</t>
        </is>
      </c>
      <c r="C16" t="inlineStr">
        <is>
          <t>West_Dist_13</t>
        </is>
      </c>
      <c r="D16" t="inlineStr">
        <is>
          <t>General</t>
        </is>
      </c>
      <c r="E16" t="n">
        <v>3445</v>
      </c>
      <c r="F16" t="n">
        <v>4865</v>
      </c>
      <c r="G16" t="n">
        <v>55.82</v>
      </c>
      <c r="H16" t="n">
        <v>1</v>
      </c>
      <c r="I16" t="n">
        <v>2200</v>
      </c>
      <c r="J16" t="n">
        <v>2.21</v>
      </c>
      <c r="K16" t="n">
        <v>121</v>
      </c>
      <c r="L16" t="inlineStr">
        <is>
          <t>Under-represented</t>
        </is>
      </c>
    </row>
    <row r="17">
      <c r="A17" t="inlineStr">
        <is>
          <t>CON-014</t>
        </is>
      </c>
      <c r="B17" t="inlineStr">
        <is>
          <t>Telangana</t>
        </is>
      </c>
      <c r="C17" t="inlineStr">
        <is>
          <t>Telangana_Dist_14</t>
        </is>
      </c>
      <c r="D17" t="inlineStr">
        <is>
          <t>General</t>
        </is>
      </c>
      <c r="E17" t="n">
        <v>3319</v>
      </c>
      <c r="F17" t="n">
        <v>5720</v>
      </c>
      <c r="G17" t="n">
        <v>77.53</v>
      </c>
      <c r="H17" t="n">
        <v>1</v>
      </c>
      <c r="I17" t="n">
        <v>2200</v>
      </c>
      <c r="J17" t="n">
        <v>2.6</v>
      </c>
      <c r="K17" t="n">
        <v>160</v>
      </c>
      <c r="L17" t="inlineStr">
        <is>
          <t>Under-represented</t>
        </is>
      </c>
    </row>
    <row r="18">
      <c r="A18" t="inlineStr">
        <is>
          <t>CON-015</t>
        </is>
      </c>
      <c r="B18" t="inlineStr">
        <is>
          <t>Bihar</t>
        </is>
      </c>
      <c r="C18" t="inlineStr">
        <is>
          <t>Bihar_Dist_15</t>
        </is>
      </c>
      <c r="D18" t="inlineStr">
        <is>
          <t>General</t>
        </is>
      </c>
      <c r="E18" t="n">
        <v>1651</v>
      </c>
      <c r="F18" t="n">
        <v>2261</v>
      </c>
      <c r="G18" t="n">
        <v>57.27</v>
      </c>
      <c r="H18" t="n">
        <v>1</v>
      </c>
      <c r="I18" t="n">
        <v>2200</v>
      </c>
      <c r="J18" t="n">
        <v>1.03</v>
      </c>
      <c r="K18" t="n">
        <v>3</v>
      </c>
      <c r="L18" t="inlineStr">
        <is>
          <t>Balanced</t>
        </is>
      </c>
    </row>
    <row r="19">
      <c r="A19" t="inlineStr">
        <is>
          <t>CON-016</t>
        </is>
      </c>
      <c r="B19" t="inlineStr">
        <is>
          <t>Bihar</t>
        </is>
      </c>
      <c r="C19" t="inlineStr">
        <is>
          <t>Bihar_Dist_16</t>
        </is>
      </c>
      <c r="D19" t="inlineStr">
        <is>
          <t>General</t>
        </is>
      </c>
      <c r="E19" t="n">
        <v>3221</v>
      </c>
      <c r="F19" t="n">
        <v>4675</v>
      </c>
      <c r="G19" t="n">
        <v>57.82</v>
      </c>
      <c r="H19" t="n">
        <v>1</v>
      </c>
      <c r="I19" t="n">
        <v>2200</v>
      </c>
      <c r="J19" t="n">
        <v>2.12</v>
      </c>
      <c r="K19" t="n">
        <v>112</v>
      </c>
      <c r="L19" t="inlineStr">
        <is>
          <t>Under-represented</t>
        </is>
      </c>
    </row>
    <row r="20">
      <c r="A20" t="inlineStr">
        <is>
          <t>CON-017</t>
        </is>
      </c>
      <c r="B20" t="inlineStr">
        <is>
          <t>West Bengal</t>
        </is>
      </c>
      <c r="C20" t="inlineStr">
        <is>
          <t>West_Dist_17</t>
        </is>
      </c>
      <c r="D20" t="inlineStr">
        <is>
          <t>SC</t>
        </is>
      </c>
      <c r="E20" t="n">
        <v>2478</v>
      </c>
      <c r="F20" t="n">
        <v>3567</v>
      </c>
      <c r="G20" t="n">
        <v>66.63</v>
      </c>
      <c r="H20" t="n">
        <v>1</v>
      </c>
      <c r="I20" t="n">
        <v>2200</v>
      </c>
      <c r="J20" t="n">
        <v>1.62</v>
      </c>
      <c r="K20" t="n">
        <v>62</v>
      </c>
      <c r="L20" t="inlineStr">
        <is>
          <t>Under-represented</t>
        </is>
      </c>
    </row>
    <row r="21">
      <c r="A21" t="inlineStr">
        <is>
          <t>CON-018</t>
        </is>
      </c>
      <c r="B21" t="inlineStr">
        <is>
          <t>Karnataka</t>
        </is>
      </c>
      <c r="C21" t="inlineStr">
        <is>
          <t>Karnataka_Dist_18</t>
        </is>
      </c>
      <c r="D21" t="inlineStr">
        <is>
          <t>General</t>
        </is>
      </c>
      <c r="E21" t="n">
        <v>3253</v>
      </c>
      <c r="F21" t="n">
        <v>5199</v>
      </c>
      <c r="G21" t="n">
        <v>63.84</v>
      </c>
      <c r="H21" t="n">
        <v>1</v>
      </c>
      <c r="I21" t="n">
        <v>2200</v>
      </c>
      <c r="J21" t="n">
        <v>2.36</v>
      </c>
      <c r="K21" t="n">
        <v>136</v>
      </c>
      <c r="L21" t="inlineStr">
        <is>
          <t>Under-represented</t>
        </is>
      </c>
    </row>
    <row r="22">
      <c r="A22" t="inlineStr">
        <is>
          <t>CON-019</t>
        </is>
      </c>
      <c r="B22" t="inlineStr">
        <is>
          <t>Uttar Pradesh</t>
        </is>
      </c>
      <c r="C22" t="inlineStr">
        <is>
          <t>Uttar_Dist_19</t>
        </is>
      </c>
      <c r="D22" t="inlineStr">
        <is>
          <t>General</t>
        </is>
      </c>
      <c r="E22" t="n">
        <v>2867</v>
      </c>
      <c r="F22" t="n">
        <v>4162</v>
      </c>
      <c r="G22" t="n">
        <v>61.03</v>
      </c>
      <c r="H22" t="n">
        <v>1</v>
      </c>
      <c r="I22" t="n">
        <v>2200</v>
      </c>
      <c r="J22" t="n">
        <v>1.89</v>
      </c>
      <c r="K22" t="n">
        <v>89</v>
      </c>
      <c r="L22" t="inlineStr">
        <is>
          <t>Under-represented</t>
        </is>
      </c>
    </row>
    <row r="23">
      <c r="A23" t="inlineStr">
        <is>
          <t>CON-020</t>
        </is>
      </c>
      <c r="B23" t="inlineStr">
        <is>
          <t>Maharashtra</t>
        </is>
      </c>
      <c r="C23" t="inlineStr">
        <is>
          <t>Maharashtra_Dist_20</t>
        </is>
      </c>
      <c r="D23" t="inlineStr">
        <is>
          <t>General</t>
        </is>
      </c>
      <c r="E23" t="n">
        <v>1453</v>
      </c>
      <c r="F23" t="n">
        <v>2496</v>
      </c>
      <c r="G23" t="n">
        <v>74.68000000000001</v>
      </c>
      <c r="H23" t="n">
        <v>1</v>
      </c>
      <c r="I23" t="n">
        <v>2200</v>
      </c>
      <c r="J23" t="n">
        <v>1.13</v>
      </c>
      <c r="K23" t="n">
        <v>13</v>
      </c>
      <c r="L23" t="inlineStr">
        <is>
          <t>Balanced</t>
        </is>
      </c>
    </row>
    <row r="24">
      <c r="A24" t="inlineStr">
        <is>
          <t>CON-021</t>
        </is>
      </c>
      <c r="B24" t="inlineStr">
        <is>
          <t>Karnataka</t>
        </is>
      </c>
      <c r="C24" t="inlineStr">
        <is>
          <t>Karnataka_Dist_21</t>
        </is>
      </c>
      <c r="D24" t="inlineStr">
        <is>
          <t>General</t>
        </is>
      </c>
      <c r="E24" t="n">
        <v>2028</v>
      </c>
      <c r="F24" t="n">
        <v>2646</v>
      </c>
      <c r="G24" t="n">
        <v>60.28</v>
      </c>
      <c r="H24" t="n">
        <v>1</v>
      </c>
      <c r="I24" t="n">
        <v>2200</v>
      </c>
      <c r="J24" t="n">
        <v>1.2</v>
      </c>
      <c r="K24" t="n">
        <v>20</v>
      </c>
      <c r="L24" t="inlineStr">
        <is>
          <t>Balanced</t>
        </is>
      </c>
    </row>
    <row r="25">
      <c r="A25" t="inlineStr">
        <is>
          <t>CON-022</t>
        </is>
      </c>
      <c r="B25" t="inlineStr">
        <is>
          <t>West Bengal</t>
        </is>
      </c>
      <c r="C25" t="inlineStr">
        <is>
          <t>West_Dist_22</t>
        </is>
      </c>
      <c r="D25" t="inlineStr">
        <is>
          <t>General</t>
        </is>
      </c>
      <c r="E25" t="n">
        <v>1419</v>
      </c>
      <c r="F25" t="n">
        <v>2192</v>
      </c>
      <c r="G25" t="n">
        <v>69.19</v>
      </c>
      <c r="H25" t="n">
        <v>1</v>
      </c>
      <c r="I25" t="n">
        <v>2200</v>
      </c>
      <c r="J25" t="n">
        <v>1</v>
      </c>
      <c r="K25" t="n">
        <v>0</v>
      </c>
      <c r="L25" t="inlineStr">
        <is>
          <t>Balanced</t>
        </is>
      </c>
    </row>
    <row r="26">
      <c r="A26" t="inlineStr">
        <is>
          <t>CON-023</t>
        </is>
      </c>
      <c r="B26" t="inlineStr">
        <is>
          <t>Andhra Pradesh</t>
        </is>
      </c>
      <c r="C26" t="inlineStr">
        <is>
          <t>Andhra_Dist_23</t>
        </is>
      </c>
      <c r="D26" t="inlineStr">
        <is>
          <t>ST</t>
        </is>
      </c>
      <c r="E26" t="n">
        <v>3315</v>
      </c>
      <c r="F26" t="n">
        <v>4471</v>
      </c>
      <c r="G26" t="n">
        <v>69.04000000000001</v>
      </c>
      <c r="H26" t="n">
        <v>1</v>
      </c>
      <c r="I26" t="n">
        <v>2200</v>
      </c>
      <c r="J26" t="n">
        <v>2.03</v>
      </c>
      <c r="K26" t="n">
        <v>103</v>
      </c>
      <c r="L26" t="inlineStr">
        <is>
          <t>Under-represented</t>
        </is>
      </c>
    </row>
    <row r="27">
      <c r="A27" t="inlineStr">
        <is>
          <t>CON-024</t>
        </is>
      </c>
      <c r="B27" t="inlineStr">
        <is>
          <t>Karnataka</t>
        </is>
      </c>
      <c r="C27" t="inlineStr">
        <is>
          <t>Karnataka_Dist_24</t>
        </is>
      </c>
      <c r="D27" t="inlineStr">
        <is>
          <t>SC</t>
        </is>
      </c>
      <c r="E27" t="n">
        <v>3518</v>
      </c>
      <c r="F27" t="n">
        <v>5437</v>
      </c>
      <c r="G27" t="n">
        <v>82.45999999999999</v>
      </c>
      <c r="H27" t="n">
        <v>1</v>
      </c>
      <c r="I27" t="n">
        <v>2200</v>
      </c>
      <c r="J27" t="n">
        <v>2.47</v>
      </c>
      <c r="K27" t="n">
        <v>147</v>
      </c>
      <c r="L27" t="inlineStr">
        <is>
          <t>Under-represented</t>
        </is>
      </c>
    </row>
    <row r="28">
      <c r="A28" t="inlineStr">
        <is>
          <t>CON-025</t>
        </is>
      </c>
      <c r="B28" t="inlineStr">
        <is>
          <t>Karnataka</t>
        </is>
      </c>
      <c r="C28" t="inlineStr">
        <is>
          <t>Karnataka_Dist_25</t>
        </is>
      </c>
      <c r="D28" t="inlineStr">
        <is>
          <t>General</t>
        </is>
      </c>
      <c r="E28" t="n">
        <v>2679</v>
      </c>
      <c r="F28" t="n">
        <v>3609</v>
      </c>
      <c r="G28" t="n">
        <v>68.20999999999999</v>
      </c>
      <c r="H28" t="n">
        <v>1</v>
      </c>
      <c r="I28" t="n">
        <v>2200</v>
      </c>
      <c r="J28" t="n">
        <v>1.64</v>
      </c>
      <c r="K28" t="n">
        <v>64</v>
      </c>
      <c r="L28" t="inlineStr">
        <is>
          <t>Under-represented</t>
        </is>
      </c>
    </row>
    <row r="29">
      <c r="A29" t="inlineStr">
        <is>
          <t>CON-026</t>
        </is>
      </c>
      <c r="B29" t="inlineStr">
        <is>
          <t>Tamil Nadu</t>
        </is>
      </c>
      <c r="C29" t="inlineStr">
        <is>
          <t>Tamil_Dist_26</t>
        </is>
      </c>
      <c r="D29" t="inlineStr">
        <is>
          <t>General</t>
        </is>
      </c>
      <c r="E29" t="n">
        <v>3483</v>
      </c>
      <c r="F29" t="n">
        <v>5437</v>
      </c>
      <c r="G29" t="n">
        <v>71.79000000000001</v>
      </c>
      <c r="H29" t="n">
        <v>1</v>
      </c>
      <c r="I29" t="n">
        <v>2200</v>
      </c>
      <c r="J29" t="n">
        <v>2.47</v>
      </c>
      <c r="K29" t="n">
        <v>147</v>
      </c>
      <c r="L29" t="inlineStr">
        <is>
          <t>Under-represented</t>
        </is>
      </c>
    </row>
    <row r="30">
      <c r="A30" t="inlineStr">
        <is>
          <t>CON-027</t>
        </is>
      </c>
      <c r="B30" t="inlineStr">
        <is>
          <t>Telangana</t>
        </is>
      </c>
      <c r="C30" t="inlineStr">
        <is>
          <t>Telangana_Dist_27</t>
        </is>
      </c>
      <c r="D30" t="inlineStr">
        <is>
          <t>General</t>
        </is>
      </c>
      <c r="E30" t="n">
        <v>2300</v>
      </c>
      <c r="F30" t="n">
        <v>3150</v>
      </c>
      <c r="G30" t="n">
        <v>73.23</v>
      </c>
      <c r="H30" t="n">
        <v>1</v>
      </c>
      <c r="I30" t="n">
        <v>2200</v>
      </c>
      <c r="J30" t="n">
        <v>1.43</v>
      </c>
      <c r="K30" t="n">
        <v>43</v>
      </c>
      <c r="L30" t="inlineStr">
        <is>
          <t>Under-represented</t>
        </is>
      </c>
    </row>
    <row r="31">
      <c r="A31" t="inlineStr">
        <is>
          <t>CON-028</t>
        </is>
      </c>
      <c r="B31" t="inlineStr">
        <is>
          <t>Maharashtra</t>
        </is>
      </c>
      <c r="C31" t="inlineStr">
        <is>
          <t>Maharashtra_Dist_28</t>
        </is>
      </c>
      <c r="D31" t="inlineStr">
        <is>
          <t>General</t>
        </is>
      </c>
      <c r="E31" t="n">
        <v>1792</v>
      </c>
      <c r="F31" t="n">
        <v>2804</v>
      </c>
      <c r="G31" t="n">
        <v>62.87</v>
      </c>
      <c r="H31" t="n">
        <v>1</v>
      </c>
      <c r="I31" t="n">
        <v>2200</v>
      </c>
      <c r="J31" t="n">
        <v>1.27</v>
      </c>
      <c r="K31" t="n">
        <v>27</v>
      </c>
      <c r="L31" t="inlineStr">
        <is>
          <t>Under-represented</t>
        </is>
      </c>
    </row>
    <row r="32">
      <c r="A32" t="inlineStr">
        <is>
          <t>CON-029</t>
        </is>
      </c>
      <c r="B32" t="inlineStr">
        <is>
          <t>Gujarat</t>
        </is>
      </c>
      <c r="C32" t="inlineStr">
        <is>
          <t>Gujarat_Dist_29</t>
        </is>
      </c>
      <c r="D32" t="inlineStr">
        <is>
          <t>ST</t>
        </is>
      </c>
      <c r="E32" t="n">
        <v>3596</v>
      </c>
      <c r="F32" t="n">
        <v>4925</v>
      </c>
      <c r="G32" t="n">
        <v>58.63</v>
      </c>
      <c r="H32" t="n">
        <v>1</v>
      </c>
      <c r="I32" t="n">
        <v>2200</v>
      </c>
      <c r="J32" t="n">
        <v>2.24</v>
      </c>
      <c r="K32" t="n">
        <v>124</v>
      </c>
      <c r="L32" t="inlineStr">
        <is>
          <t>Under-represented</t>
        </is>
      </c>
    </row>
    <row r="33">
      <c r="A33" t="inlineStr">
        <is>
          <t>CON-030</t>
        </is>
      </c>
      <c r="B33" t="inlineStr">
        <is>
          <t>Tamil Nadu</t>
        </is>
      </c>
      <c r="C33" t="inlineStr">
        <is>
          <t>Tamil_Dist_30</t>
        </is>
      </c>
      <c r="D33" t="inlineStr">
        <is>
          <t>General</t>
        </is>
      </c>
      <c r="E33" t="n">
        <v>1297</v>
      </c>
      <c r="F33" t="n">
        <v>1692</v>
      </c>
      <c r="G33" t="n">
        <v>72.34</v>
      </c>
      <c r="H33" t="n">
        <v>1</v>
      </c>
      <c r="I33" t="n">
        <v>2200</v>
      </c>
      <c r="J33" t="n">
        <v>0.77</v>
      </c>
      <c r="K33" t="n">
        <v>23</v>
      </c>
      <c r="L33" t="inlineStr">
        <is>
          <t>Over-represented</t>
        </is>
      </c>
    </row>
    <row r="34">
      <c r="A34" t="inlineStr">
        <is>
          <t>CON-031</t>
        </is>
      </c>
      <c r="B34" t="inlineStr">
        <is>
          <t>Kerala</t>
        </is>
      </c>
      <c r="C34" t="inlineStr">
        <is>
          <t>Kerala_Dist_31</t>
        </is>
      </c>
      <c r="D34" t="inlineStr">
        <is>
          <t>General</t>
        </is>
      </c>
      <c r="E34" t="n">
        <v>3440</v>
      </c>
      <c r="F34" t="n">
        <v>5815</v>
      </c>
      <c r="G34" t="n">
        <v>74.59999999999999</v>
      </c>
      <c r="H34" t="n">
        <v>1</v>
      </c>
      <c r="I34" t="n">
        <v>2200</v>
      </c>
      <c r="J34" t="n">
        <v>2.64</v>
      </c>
      <c r="K34" t="n">
        <v>164</v>
      </c>
      <c r="L34" t="inlineStr">
        <is>
          <t>Under-represented</t>
        </is>
      </c>
    </row>
    <row r="35">
      <c r="A35" t="inlineStr">
        <is>
          <t>CON-032</t>
        </is>
      </c>
      <c r="B35" t="inlineStr">
        <is>
          <t>Tamil Nadu</t>
        </is>
      </c>
      <c r="C35" t="inlineStr">
        <is>
          <t>Tamil_Dist_32</t>
        </is>
      </c>
      <c r="D35" t="inlineStr">
        <is>
          <t>SC</t>
        </is>
      </c>
      <c r="E35" t="n">
        <v>1363</v>
      </c>
      <c r="F35" t="n">
        <v>2270</v>
      </c>
      <c r="G35" t="n">
        <v>58.6</v>
      </c>
      <c r="H35" t="n">
        <v>1</v>
      </c>
      <c r="I35" t="n">
        <v>2200</v>
      </c>
      <c r="J35" t="n">
        <v>1.03</v>
      </c>
      <c r="K35" t="n">
        <v>3</v>
      </c>
      <c r="L35" t="inlineStr">
        <is>
          <t>Balanced</t>
        </is>
      </c>
    </row>
    <row r="36">
      <c r="A36" t="inlineStr">
        <is>
          <t>CON-033</t>
        </is>
      </c>
      <c r="B36" t="inlineStr">
        <is>
          <t>Maharashtra</t>
        </is>
      </c>
      <c r="C36" t="inlineStr">
        <is>
          <t>Maharashtra_Dist_33</t>
        </is>
      </c>
      <c r="D36" t="inlineStr">
        <is>
          <t>General</t>
        </is>
      </c>
      <c r="E36" t="n">
        <v>2975</v>
      </c>
      <c r="F36" t="n">
        <v>4129</v>
      </c>
      <c r="G36" t="n">
        <v>70.88</v>
      </c>
      <c r="H36" t="n">
        <v>1</v>
      </c>
      <c r="I36" t="n">
        <v>2200</v>
      </c>
      <c r="J36" t="n">
        <v>1.88</v>
      </c>
      <c r="K36" t="n">
        <v>88</v>
      </c>
      <c r="L36" t="inlineStr">
        <is>
          <t>Under-represented</t>
        </is>
      </c>
    </row>
    <row r="37">
      <c r="A37" t="inlineStr">
        <is>
          <t>CON-034</t>
        </is>
      </c>
      <c r="B37" t="inlineStr">
        <is>
          <t>Andhra Pradesh</t>
        </is>
      </c>
      <c r="C37" t="inlineStr">
        <is>
          <t>Andhra_Dist_34</t>
        </is>
      </c>
      <c r="D37" t="inlineStr">
        <is>
          <t>SC</t>
        </is>
      </c>
      <c r="E37" t="n">
        <v>2225</v>
      </c>
      <c r="F37" t="n">
        <v>2850</v>
      </c>
      <c r="G37" t="n">
        <v>82.18000000000001</v>
      </c>
      <c r="H37" t="n">
        <v>1</v>
      </c>
      <c r="I37" t="n">
        <v>2200</v>
      </c>
      <c r="J37" t="n">
        <v>1.3</v>
      </c>
      <c r="K37" t="n">
        <v>30</v>
      </c>
      <c r="L37" t="inlineStr">
        <is>
          <t>Under-represented</t>
        </is>
      </c>
    </row>
    <row r="38">
      <c r="A38" t="inlineStr">
        <is>
          <t>CON-035</t>
        </is>
      </c>
      <c r="B38" t="inlineStr">
        <is>
          <t>Bihar</t>
        </is>
      </c>
      <c r="C38" t="inlineStr">
        <is>
          <t>Bihar_Dist_35</t>
        </is>
      </c>
      <c r="D38" t="inlineStr">
        <is>
          <t>ST</t>
        </is>
      </c>
      <c r="E38" t="n">
        <v>3425</v>
      </c>
      <c r="F38" t="n">
        <v>5622</v>
      </c>
      <c r="G38" t="n">
        <v>82.04000000000001</v>
      </c>
      <c r="H38" t="n">
        <v>1</v>
      </c>
      <c r="I38" t="n">
        <v>2200</v>
      </c>
      <c r="J38" t="n">
        <v>2.56</v>
      </c>
      <c r="K38" t="n">
        <v>156</v>
      </c>
      <c r="L38" t="inlineStr">
        <is>
          <t>Under-represented</t>
        </is>
      </c>
    </row>
    <row r="39">
      <c r="A39" t="inlineStr">
        <is>
          <t>CON-036</t>
        </is>
      </c>
      <c r="B39" t="inlineStr">
        <is>
          <t>Telangana</t>
        </is>
      </c>
      <c r="C39" t="inlineStr">
        <is>
          <t>Telangana_Dist_36</t>
        </is>
      </c>
      <c r="D39" t="inlineStr">
        <is>
          <t>General</t>
        </is>
      </c>
      <c r="E39" t="n">
        <v>1678</v>
      </c>
      <c r="F39" t="n">
        <v>2601</v>
      </c>
      <c r="G39" t="n">
        <v>60.02</v>
      </c>
      <c r="H39" t="n">
        <v>1</v>
      </c>
      <c r="I39" t="n">
        <v>2200</v>
      </c>
      <c r="J39" t="n">
        <v>1.18</v>
      </c>
      <c r="K39" t="n">
        <v>18</v>
      </c>
      <c r="L39" t="inlineStr">
        <is>
          <t>Balanced</t>
        </is>
      </c>
    </row>
    <row r="40">
      <c r="A40" t="inlineStr">
        <is>
          <t>CON-037</t>
        </is>
      </c>
      <c r="B40" t="inlineStr">
        <is>
          <t>Telangana</t>
        </is>
      </c>
      <c r="C40" t="inlineStr">
        <is>
          <t>Telangana_Dist_37</t>
        </is>
      </c>
      <c r="D40" t="inlineStr">
        <is>
          <t>General</t>
        </is>
      </c>
      <c r="E40" t="n">
        <v>3393</v>
      </c>
      <c r="F40" t="n">
        <v>4754</v>
      </c>
      <c r="G40" t="n">
        <v>71.8</v>
      </c>
      <c r="H40" t="n">
        <v>1</v>
      </c>
      <c r="I40" t="n">
        <v>2200</v>
      </c>
      <c r="J40" t="n">
        <v>2.16</v>
      </c>
      <c r="K40" t="n">
        <v>116</v>
      </c>
      <c r="L40" t="inlineStr">
        <is>
          <t>Under-represented</t>
        </is>
      </c>
    </row>
    <row r="41">
      <c r="A41" t="inlineStr">
        <is>
          <t>CON-038</t>
        </is>
      </c>
      <c r="B41" t="inlineStr">
        <is>
          <t>Uttar Pradesh</t>
        </is>
      </c>
      <c r="C41" t="inlineStr">
        <is>
          <t>Uttar_Dist_38</t>
        </is>
      </c>
      <c r="D41" t="inlineStr">
        <is>
          <t>General</t>
        </is>
      </c>
      <c r="E41" t="n">
        <v>2803</v>
      </c>
      <c r="F41" t="n">
        <v>4726</v>
      </c>
      <c r="G41" t="n">
        <v>80.95</v>
      </c>
      <c r="H41" t="n">
        <v>1</v>
      </c>
      <c r="I41" t="n">
        <v>2200</v>
      </c>
      <c r="J41" t="n">
        <v>2.15</v>
      </c>
      <c r="K41" t="n">
        <v>115</v>
      </c>
      <c r="L41" t="inlineStr">
        <is>
          <t>Under-represented</t>
        </is>
      </c>
    </row>
    <row r="42">
      <c r="A42" t="inlineStr">
        <is>
          <t>CON-039</t>
        </is>
      </c>
      <c r="B42" t="inlineStr">
        <is>
          <t>Gujarat</t>
        </is>
      </c>
      <c r="C42" t="inlineStr">
        <is>
          <t>Gujarat_Dist_39</t>
        </is>
      </c>
      <c r="D42" t="inlineStr">
        <is>
          <t>General</t>
        </is>
      </c>
      <c r="E42" t="n">
        <v>2213</v>
      </c>
      <c r="F42" t="n">
        <v>3242</v>
      </c>
      <c r="G42" t="n">
        <v>74</v>
      </c>
      <c r="H42" t="n">
        <v>1</v>
      </c>
      <c r="I42" t="n">
        <v>2200</v>
      </c>
      <c r="J42" t="n">
        <v>1.47</v>
      </c>
      <c r="K42" t="n">
        <v>47</v>
      </c>
      <c r="L42" t="inlineStr">
        <is>
          <t>Under-represented</t>
        </is>
      </c>
    </row>
    <row r="43">
      <c r="A43" t="inlineStr">
        <is>
          <t>CON-040</t>
        </is>
      </c>
      <c r="B43" t="inlineStr">
        <is>
          <t>West Bengal</t>
        </is>
      </c>
      <c r="C43" t="inlineStr">
        <is>
          <t>West_Dist_40</t>
        </is>
      </c>
      <c r="D43" t="inlineStr">
        <is>
          <t>General</t>
        </is>
      </c>
      <c r="E43" t="n">
        <v>3212</v>
      </c>
      <c r="F43" t="n">
        <v>5201</v>
      </c>
      <c r="G43" t="n">
        <v>81.81999999999999</v>
      </c>
      <c r="H43" t="n">
        <v>1</v>
      </c>
      <c r="I43" t="n">
        <v>2200</v>
      </c>
      <c r="J43" t="n">
        <v>2.36</v>
      </c>
      <c r="K43" t="n">
        <v>136</v>
      </c>
      <c r="L43" t="inlineStr">
        <is>
          <t>Under-represented</t>
        </is>
      </c>
    </row>
    <row r="44">
      <c r="A44" t="inlineStr">
        <is>
          <t>CON-041</t>
        </is>
      </c>
      <c r="B44" t="inlineStr">
        <is>
          <t>Karnataka</t>
        </is>
      </c>
      <c r="C44" t="inlineStr">
        <is>
          <t>Karnataka_Dist_41</t>
        </is>
      </c>
      <c r="D44" t="inlineStr">
        <is>
          <t>General</t>
        </is>
      </c>
      <c r="E44" t="n">
        <v>2995</v>
      </c>
      <c r="F44" t="n">
        <v>5199</v>
      </c>
      <c r="G44" t="n">
        <v>74.31</v>
      </c>
      <c r="H44" t="n">
        <v>1</v>
      </c>
      <c r="I44" t="n">
        <v>2200</v>
      </c>
      <c r="J44" t="n">
        <v>2.36</v>
      </c>
      <c r="K44" t="n">
        <v>136</v>
      </c>
      <c r="L44" t="inlineStr">
        <is>
          <t>Under-represented</t>
        </is>
      </c>
    </row>
    <row r="45">
      <c r="A45" t="inlineStr">
        <is>
          <t>CON-042</t>
        </is>
      </c>
      <c r="B45" t="inlineStr">
        <is>
          <t>Maharashtra</t>
        </is>
      </c>
      <c r="C45" t="inlineStr">
        <is>
          <t>Maharashtra_Dist_42</t>
        </is>
      </c>
      <c r="D45" t="inlineStr">
        <is>
          <t>General</t>
        </is>
      </c>
      <c r="E45" t="n">
        <v>1438</v>
      </c>
      <c r="F45" t="n">
        <v>2144</v>
      </c>
      <c r="G45" t="n">
        <v>67.04000000000001</v>
      </c>
      <c r="H45" t="n">
        <v>1</v>
      </c>
      <c r="I45" t="n">
        <v>2200</v>
      </c>
      <c r="J45" t="n">
        <v>0.97</v>
      </c>
      <c r="K45" t="n">
        <v>3</v>
      </c>
      <c r="L45" t="inlineStr">
        <is>
          <t>Balanced</t>
        </is>
      </c>
    </row>
    <row r="46">
      <c r="A46" t="inlineStr">
        <is>
          <t>CON-043</t>
        </is>
      </c>
      <c r="B46" t="inlineStr">
        <is>
          <t>Andhra Pradesh</t>
        </is>
      </c>
      <c r="C46" t="inlineStr">
        <is>
          <t>Andhra_Dist_43</t>
        </is>
      </c>
      <c r="D46" t="inlineStr">
        <is>
          <t>General</t>
        </is>
      </c>
      <c r="E46" t="n">
        <v>3295</v>
      </c>
      <c r="F46" t="n">
        <v>5158</v>
      </c>
      <c r="G46" t="n">
        <v>52.58</v>
      </c>
      <c r="H46" t="n">
        <v>1</v>
      </c>
      <c r="I46" t="n">
        <v>2200</v>
      </c>
      <c r="J46" t="n">
        <v>2.34</v>
      </c>
      <c r="K46" t="n">
        <v>134</v>
      </c>
      <c r="L46" t="inlineStr">
        <is>
          <t>Under-represented</t>
        </is>
      </c>
    </row>
    <row r="47">
      <c r="A47" t="inlineStr">
        <is>
          <t>CON-044</t>
        </is>
      </c>
      <c r="B47" t="inlineStr">
        <is>
          <t>West Bengal</t>
        </is>
      </c>
      <c r="C47" t="inlineStr">
        <is>
          <t>West_Dist_44</t>
        </is>
      </c>
      <c r="D47" t="inlineStr">
        <is>
          <t>General</t>
        </is>
      </c>
      <c r="E47" t="n">
        <v>3628</v>
      </c>
      <c r="F47" t="n">
        <v>4599</v>
      </c>
      <c r="G47" t="n">
        <v>53.95</v>
      </c>
      <c r="H47" t="n">
        <v>1</v>
      </c>
      <c r="I47" t="n">
        <v>2200</v>
      </c>
      <c r="J47" t="n">
        <v>2.09</v>
      </c>
      <c r="K47" t="n">
        <v>109</v>
      </c>
      <c r="L47" t="inlineStr">
        <is>
          <t>Under-represented</t>
        </is>
      </c>
    </row>
    <row r="48">
      <c r="A48" t="inlineStr">
        <is>
          <t>CON-045</t>
        </is>
      </c>
      <c r="B48" t="inlineStr">
        <is>
          <t>West Bengal</t>
        </is>
      </c>
      <c r="C48" t="inlineStr">
        <is>
          <t>West_Dist_45</t>
        </is>
      </c>
      <c r="D48" t="inlineStr">
        <is>
          <t>General</t>
        </is>
      </c>
      <c r="E48" t="n">
        <v>3360</v>
      </c>
      <c r="F48" t="n">
        <v>5463</v>
      </c>
      <c r="G48" t="n">
        <v>68.93000000000001</v>
      </c>
      <c r="H48" t="n">
        <v>1</v>
      </c>
      <c r="I48" t="n">
        <v>2200</v>
      </c>
      <c r="J48" t="n">
        <v>2.48</v>
      </c>
      <c r="K48" t="n">
        <v>148</v>
      </c>
      <c r="L48" t="inlineStr">
        <is>
          <t>Under-represented</t>
        </is>
      </c>
    </row>
    <row r="49">
      <c r="A49" t="inlineStr">
        <is>
          <t>CON-046</t>
        </is>
      </c>
      <c r="B49" t="inlineStr">
        <is>
          <t>Tamil Nadu</t>
        </is>
      </c>
      <c r="C49" t="inlineStr">
        <is>
          <t>Tamil_Dist_46</t>
        </is>
      </c>
      <c r="D49" t="inlineStr">
        <is>
          <t>General</t>
        </is>
      </c>
      <c r="E49" t="n">
        <v>1369</v>
      </c>
      <c r="F49" t="n">
        <v>2203</v>
      </c>
      <c r="G49" t="n">
        <v>66.65000000000001</v>
      </c>
      <c r="H49" t="n">
        <v>1</v>
      </c>
      <c r="I49" t="n">
        <v>2200</v>
      </c>
      <c r="J49" t="n">
        <v>1</v>
      </c>
      <c r="K49" t="n">
        <v>0</v>
      </c>
      <c r="L49" t="inlineStr">
        <is>
          <t>Balanced</t>
        </is>
      </c>
    </row>
    <row r="50">
      <c r="A50" t="inlineStr">
        <is>
          <t>CON-047</t>
        </is>
      </c>
      <c r="B50" t="inlineStr">
        <is>
          <t>Telangana</t>
        </is>
      </c>
      <c r="C50" t="inlineStr">
        <is>
          <t>Telangana_Dist_47</t>
        </is>
      </c>
      <c r="D50" t="inlineStr">
        <is>
          <t>General</t>
        </is>
      </c>
      <c r="E50" t="n">
        <v>1497</v>
      </c>
      <c r="F50" t="n">
        <v>2393</v>
      </c>
      <c r="G50" t="n">
        <v>63.23</v>
      </c>
      <c r="H50" t="n">
        <v>1</v>
      </c>
      <c r="I50" t="n">
        <v>2200</v>
      </c>
      <c r="J50" t="n">
        <v>1.09</v>
      </c>
      <c r="K50" t="n">
        <v>9</v>
      </c>
      <c r="L50" t="inlineStr">
        <is>
          <t>Balanced</t>
        </is>
      </c>
    </row>
    <row r="51">
      <c r="A51" t="inlineStr">
        <is>
          <t>CON-048</t>
        </is>
      </c>
      <c r="B51" t="inlineStr">
        <is>
          <t>Telangana</t>
        </is>
      </c>
      <c r="C51" t="inlineStr">
        <is>
          <t>Telangana_Dist_48</t>
        </is>
      </c>
      <c r="D51" t="inlineStr">
        <is>
          <t>SC</t>
        </is>
      </c>
      <c r="E51" t="n">
        <v>1587</v>
      </c>
      <c r="F51" t="n">
        <v>2083</v>
      </c>
      <c r="G51" t="n">
        <v>76.67</v>
      </c>
      <c r="H51" t="n">
        <v>1</v>
      </c>
      <c r="I51" t="n">
        <v>2200</v>
      </c>
      <c r="J51" t="n">
        <v>0.95</v>
      </c>
      <c r="K51" t="n">
        <v>5</v>
      </c>
      <c r="L51" t="inlineStr">
        <is>
          <t>Balanced</t>
        </is>
      </c>
    </row>
    <row r="52">
      <c r="A52" t="inlineStr">
        <is>
          <t>CON-049</t>
        </is>
      </c>
      <c r="B52" t="inlineStr">
        <is>
          <t>Telangana</t>
        </is>
      </c>
      <c r="C52" t="inlineStr">
        <is>
          <t>Telangana_Dist_49</t>
        </is>
      </c>
      <c r="D52" t="inlineStr">
        <is>
          <t>General</t>
        </is>
      </c>
      <c r="E52" t="n">
        <v>3438</v>
      </c>
      <c r="F52" t="n">
        <v>5968</v>
      </c>
      <c r="G52" t="n">
        <v>75.06999999999999</v>
      </c>
      <c r="H52" t="n">
        <v>1</v>
      </c>
      <c r="I52" t="n">
        <v>2200</v>
      </c>
      <c r="J52" t="n">
        <v>2.71</v>
      </c>
      <c r="K52" t="n">
        <v>171</v>
      </c>
      <c r="L52" t="inlineStr">
        <is>
          <t>Under-represented</t>
        </is>
      </c>
    </row>
    <row r="53">
      <c r="A53" t="inlineStr">
        <is>
          <t>CON-050</t>
        </is>
      </c>
      <c r="B53" t="inlineStr">
        <is>
          <t>Karnataka</t>
        </is>
      </c>
      <c r="C53" t="inlineStr">
        <is>
          <t>Karnataka_Dist_50</t>
        </is>
      </c>
      <c r="D53" t="inlineStr">
        <is>
          <t>General</t>
        </is>
      </c>
      <c r="E53" t="n">
        <v>2667</v>
      </c>
      <c r="F53" t="n">
        <v>3493</v>
      </c>
      <c r="G53" t="n">
        <v>74.43000000000001</v>
      </c>
      <c r="H53" t="n">
        <v>1</v>
      </c>
      <c r="I53" t="n">
        <v>2200</v>
      </c>
      <c r="J53" t="n">
        <v>1.59</v>
      </c>
      <c r="K53" t="n">
        <v>59</v>
      </c>
      <c r="L53" t="inlineStr">
        <is>
          <t>Under-represented</t>
        </is>
      </c>
    </row>
    <row r="54">
      <c r="A54" t="inlineStr">
        <is>
          <t>CON-051</t>
        </is>
      </c>
      <c r="B54" t="inlineStr">
        <is>
          <t>Maharashtra</t>
        </is>
      </c>
      <c r="C54" t="inlineStr">
        <is>
          <t>Maharashtra_Dist_51</t>
        </is>
      </c>
      <c r="D54" t="inlineStr">
        <is>
          <t>General</t>
        </is>
      </c>
      <c r="E54" t="n">
        <v>3262</v>
      </c>
      <c r="F54" t="n">
        <v>4878</v>
      </c>
      <c r="G54" t="n">
        <v>77.78</v>
      </c>
      <c r="H54" t="n">
        <v>1</v>
      </c>
      <c r="I54" t="n">
        <v>2200</v>
      </c>
      <c r="J54" t="n">
        <v>2.22</v>
      </c>
      <c r="K54" t="n">
        <v>122</v>
      </c>
      <c r="L54" t="inlineStr">
        <is>
          <t>Under-represented</t>
        </is>
      </c>
    </row>
    <row r="55">
      <c r="A55" t="inlineStr">
        <is>
          <t>CON-052</t>
        </is>
      </c>
      <c r="B55" t="inlineStr">
        <is>
          <t>Gujarat</t>
        </is>
      </c>
      <c r="C55" t="inlineStr">
        <is>
          <t>Gujarat_Dist_52</t>
        </is>
      </c>
      <c r="D55" t="inlineStr">
        <is>
          <t>General</t>
        </is>
      </c>
      <c r="E55" t="n">
        <v>1872</v>
      </c>
      <c r="F55" t="n">
        <v>2525</v>
      </c>
      <c r="G55" t="n">
        <v>53.18</v>
      </c>
      <c r="H55" t="n">
        <v>1</v>
      </c>
      <c r="I55" t="n">
        <v>2200</v>
      </c>
      <c r="J55" t="n">
        <v>1.15</v>
      </c>
      <c r="K55" t="n">
        <v>15</v>
      </c>
      <c r="L55" t="inlineStr">
        <is>
          <t>Balanced</t>
        </is>
      </c>
    </row>
    <row r="56">
      <c r="A56" t="inlineStr">
        <is>
          <t>CON-053</t>
        </is>
      </c>
      <c r="B56" t="inlineStr">
        <is>
          <t>Kerala</t>
        </is>
      </c>
      <c r="C56" t="inlineStr">
        <is>
          <t>Kerala_Dist_53</t>
        </is>
      </c>
      <c r="D56" t="inlineStr">
        <is>
          <t>General</t>
        </is>
      </c>
      <c r="E56" t="n">
        <v>2237</v>
      </c>
      <c r="F56" t="n">
        <v>2830</v>
      </c>
      <c r="G56" t="n">
        <v>71.23999999999999</v>
      </c>
      <c r="H56" t="n">
        <v>1</v>
      </c>
      <c r="I56" t="n">
        <v>2200</v>
      </c>
      <c r="J56" t="n">
        <v>1.29</v>
      </c>
      <c r="K56" t="n">
        <v>29</v>
      </c>
      <c r="L56" t="inlineStr">
        <is>
          <t>Under-represented</t>
        </is>
      </c>
    </row>
    <row r="57">
      <c r="A57" t="inlineStr">
        <is>
          <t>CON-054</t>
        </is>
      </c>
      <c r="B57" t="inlineStr">
        <is>
          <t>Tamil Nadu</t>
        </is>
      </c>
      <c r="C57" t="inlineStr">
        <is>
          <t>Tamil_Dist_54</t>
        </is>
      </c>
      <c r="D57" t="inlineStr">
        <is>
          <t>General</t>
        </is>
      </c>
      <c r="E57" t="n">
        <v>3228</v>
      </c>
      <c r="F57" t="n">
        <v>4268</v>
      </c>
      <c r="G57" t="n">
        <v>75.79000000000001</v>
      </c>
      <c r="H57" t="n">
        <v>1</v>
      </c>
      <c r="I57" t="n">
        <v>2200</v>
      </c>
      <c r="J57" t="n">
        <v>1.94</v>
      </c>
      <c r="K57" t="n">
        <v>94</v>
      </c>
      <c r="L57" t="inlineStr">
        <is>
          <t>Under-represented</t>
        </is>
      </c>
    </row>
    <row r="58">
      <c r="A58" t="inlineStr">
        <is>
          <t>CON-055</t>
        </is>
      </c>
      <c r="B58" t="inlineStr">
        <is>
          <t>Bihar</t>
        </is>
      </c>
      <c r="C58" t="inlineStr">
        <is>
          <t>Bihar_Dist_55</t>
        </is>
      </c>
      <c r="D58" t="inlineStr">
        <is>
          <t>SC</t>
        </is>
      </c>
      <c r="E58" t="n">
        <v>3652</v>
      </c>
      <c r="F58" t="n">
        <v>5827</v>
      </c>
      <c r="G58" t="n">
        <v>80.08</v>
      </c>
      <c r="H58" t="n">
        <v>1</v>
      </c>
      <c r="I58" t="n">
        <v>2200</v>
      </c>
      <c r="J58" t="n">
        <v>2.65</v>
      </c>
      <c r="K58" t="n">
        <v>165</v>
      </c>
      <c r="L58" t="inlineStr">
        <is>
          <t>Under-represented</t>
        </is>
      </c>
    </row>
    <row r="59">
      <c r="A59" t="inlineStr">
        <is>
          <t>CON-056</t>
        </is>
      </c>
      <c r="B59" t="inlineStr">
        <is>
          <t>Maharashtra</t>
        </is>
      </c>
      <c r="C59" t="inlineStr">
        <is>
          <t>Maharashtra_Dist_56</t>
        </is>
      </c>
      <c r="D59" t="inlineStr">
        <is>
          <t>SC</t>
        </is>
      </c>
      <c r="E59" t="n">
        <v>3440</v>
      </c>
      <c r="F59" t="n">
        <v>4793</v>
      </c>
      <c r="G59" t="n">
        <v>61.94</v>
      </c>
      <c r="H59" t="n">
        <v>1</v>
      </c>
      <c r="I59" t="n">
        <v>2200</v>
      </c>
      <c r="J59" t="n">
        <v>2.18</v>
      </c>
      <c r="K59" t="n">
        <v>118</v>
      </c>
      <c r="L59" t="inlineStr">
        <is>
          <t>Under-represented</t>
        </is>
      </c>
    </row>
    <row r="60">
      <c r="A60" t="inlineStr">
        <is>
          <t>CON-057</t>
        </is>
      </c>
      <c r="B60" t="inlineStr">
        <is>
          <t>Maharashtra</t>
        </is>
      </c>
      <c r="C60" t="inlineStr">
        <is>
          <t>Maharashtra_Dist_57</t>
        </is>
      </c>
      <c r="D60" t="inlineStr">
        <is>
          <t>General</t>
        </is>
      </c>
      <c r="E60" t="n">
        <v>3240</v>
      </c>
      <c r="F60" t="n">
        <v>5602</v>
      </c>
      <c r="G60" t="n">
        <v>75.08</v>
      </c>
      <c r="H60" t="n">
        <v>1</v>
      </c>
      <c r="I60" t="n">
        <v>2200</v>
      </c>
      <c r="J60" t="n">
        <v>2.55</v>
      </c>
      <c r="K60" t="n">
        <v>155</v>
      </c>
      <c r="L60" t="inlineStr">
        <is>
          <t>Under-represented</t>
        </is>
      </c>
    </row>
    <row r="61">
      <c r="A61" t="inlineStr">
        <is>
          <t>CON-058</t>
        </is>
      </c>
      <c r="B61" t="inlineStr">
        <is>
          <t>West Bengal</t>
        </is>
      </c>
      <c r="C61" t="inlineStr">
        <is>
          <t>West_Dist_58</t>
        </is>
      </c>
      <c r="D61" t="inlineStr">
        <is>
          <t>General</t>
        </is>
      </c>
      <c r="E61" t="n">
        <v>1875</v>
      </c>
      <c r="F61" t="n">
        <v>2739</v>
      </c>
      <c r="G61" t="n">
        <v>74.95999999999999</v>
      </c>
      <c r="H61" t="n">
        <v>1</v>
      </c>
      <c r="I61" t="n">
        <v>2200</v>
      </c>
      <c r="J61" t="n">
        <v>1.25</v>
      </c>
      <c r="K61" t="n">
        <v>25</v>
      </c>
      <c r="L61" t="inlineStr">
        <is>
          <t>Balanced</t>
        </is>
      </c>
    </row>
    <row r="62">
      <c r="A62" t="inlineStr">
        <is>
          <t>CON-059</t>
        </is>
      </c>
      <c r="B62" t="inlineStr">
        <is>
          <t>West Bengal</t>
        </is>
      </c>
      <c r="C62" t="inlineStr">
        <is>
          <t>West_Dist_59</t>
        </is>
      </c>
      <c r="D62" t="inlineStr">
        <is>
          <t>General</t>
        </is>
      </c>
      <c r="E62" t="n">
        <v>3147</v>
      </c>
      <c r="F62" t="n">
        <v>4039</v>
      </c>
      <c r="G62" t="n">
        <v>56.3</v>
      </c>
      <c r="H62" t="n">
        <v>1</v>
      </c>
      <c r="I62" t="n">
        <v>2200</v>
      </c>
      <c r="J62" t="n">
        <v>1.84</v>
      </c>
      <c r="K62" t="n">
        <v>84</v>
      </c>
      <c r="L62" t="inlineStr">
        <is>
          <t>Under-represented</t>
        </is>
      </c>
    </row>
    <row r="63">
      <c r="A63" t="inlineStr">
        <is>
          <t>CON-060</t>
        </is>
      </c>
      <c r="B63" t="inlineStr">
        <is>
          <t>Andhra Pradesh</t>
        </is>
      </c>
      <c r="C63" t="inlineStr">
        <is>
          <t>Andhra_Dist_60</t>
        </is>
      </c>
      <c r="D63" t="inlineStr">
        <is>
          <t>General</t>
        </is>
      </c>
      <c r="E63" t="n">
        <v>3448</v>
      </c>
      <c r="F63" t="n">
        <v>5253</v>
      </c>
      <c r="G63" t="n">
        <v>52.44</v>
      </c>
      <c r="H63" t="n">
        <v>1</v>
      </c>
      <c r="I63" t="n">
        <v>2200</v>
      </c>
      <c r="J63" t="n">
        <v>2.39</v>
      </c>
      <c r="K63" t="n">
        <v>139</v>
      </c>
      <c r="L63" t="inlineStr">
        <is>
          <t>Under-represented</t>
        </is>
      </c>
    </row>
    <row r="64">
      <c r="A64" t="inlineStr">
        <is>
          <t>CON-061</t>
        </is>
      </c>
      <c r="B64" t="inlineStr">
        <is>
          <t>West Bengal</t>
        </is>
      </c>
      <c r="C64" t="inlineStr">
        <is>
          <t>West_Dist_61</t>
        </is>
      </c>
      <c r="D64" t="inlineStr">
        <is>
          <t>General</t>
        </is>
      </c>
      <c r="E64" t="n">
        <v>3097</v>
      </c>
      <c r="F64" t="n">
        <v>4008</v>
      </c>
      <c r="G64" t="n">
        <v>63.84</v>
      </c>
      <c r="H64" t="n">
        <v>1</v>
      </c>
      <c r="I64" t="n">
        <v>2200</v>
      </c>
      <c r="J64" t="n">
        <v>1.82</v>
      </c>
      <c r="K64" t="n">
        <v>82</v>
      </c>
      <c r="L64" t="inlineStr">
        <is>
          <t>Under-represented</t>
        </is>
      </c>
    </row>
    <row r="65">
      <c r="A65" t="inlineStr">
        <is>
          <t>CON-062</t>
        </is>
      </c>
      <c r="B65" t="inlineStr">
        <is>
          <t>Maharashtra</t>
        </is>
      </c>
      <c r="C65" t="inlineStr">
        <is>
          <t>Maharashtra_Dist_62</t>
        </is>
      </c>
      <c r="D65" t="inlineStr">
        <is>
          <t>SC</t>
        </is>
      </c>
      <c r="E65" t="n">
        <v>2861</v>
      </c>
      <c r="F65" t="n">
        <v>4933</v>
      </c>
      <c r="G65" t="n">
        <v>63.72</v>
      </c>
      <c r="H65" t="n">
        <v>1</v>
      </c>
      <c r="I65" t="n">
        <v>2200</v>
      </c>
      <c r="J65" t="n">
        <v>2.24</v>
      </c>
      <c r="K65" t="n">
        <v>124</v>
      </c>
      <c r="L65" t="inlineStr">
        <is>
          <t>Under-represented</t>
        </is>
      </c>
    </row>
    <row r="66">
      <c r="A66" t="inlineStr">
        <is>
          <t>CON-063</t>
        </is>
      </c>
      <c r="B66" t="inlineStr">
        <is>
          <t>Karnataka</t>
        </is>
      </c>
      <c r="C66" t="inlineStr">
        <is>
          <t>Karnataka_Dist_63</t>
        </is>
      </c>
      <c r="D66" t="inlineStr">
        <is>
          <t>SC</t>
        </is>
      </c>
      <c r="E66" t="n">
        <v>3635</v>
      </c>
      <c r="F66" t="n">
        <v>6074</v>
      </c>
      <c r="G66" t="n">
        <v>64.14</v>
      </c>
      <c r="H66" t="n">
        <v>1</v>
      </c>
      <c r="I66" t="n">
        <v>2200</v>
      </c>
      <c r="J66" t="n">
        <v>2.76</v>
      </c>
      <c r="K66" t="n">
        <v>176</v>
      </c>
      <c r="L66" t="inlineStr">
        <is>
          <t>Under-represented</t>
        </is>
      </c>
    </row>
    <row r="67">
      <c r="A67" t="inlineStr">
        <is>
          <t>CON-064</t>
        </is>
      </c>
      <c r="B67" t="inlineStr">
        <is>
          <t>Kerala</t>
        </is>
      </c>
      <c r="C67" t="inlineStr">
        <is>
          <t>Kerala_Dist_64</t>
        </is>
      </c>
      <c r="D67" t="inlineStr">
        <is>
          <t>General</t>
        </is>
      </c>
      <c r="E67" t="n">
        <v>1549</v>
      </c>
      <c r="F67" t="n">
        <v>2381</v>
      </c>
      <c r="G67" t="n">
        <v>72.06</v>
      </c>
      <c r="H67" t="n">
        <v>1</v>
      </c>
      <c r="I67" t="n">
        <v>2200</v>
      </c>
      <c r="J67" t="n">
        <v>1.08</v>
      </c>
      <c r="K67" t="n">
        <v>8</v>
      </c>
      <c r="L67" t="inlineStr">
        <is>
          <t>Balanced</t>
        </is>
      </c>
    </row>
    <row r="68">
      <c r="A68" t="inlineStr">
        <is>
          <t>CON-065</t>
        </is>
      </c>
      <c r="B68" t="inlineStr">
        <is>
          <t>West Bengal</t>
        </is>
      </c>
      <c r="C68" t="inlineStr">
        <is>
          <t>West_Dist_65</t>
        </is>
      </c>
      <c r="D68" t="inlineStr">
        <is>
          <t>General</t>
        </is>
      </c>
      <c r="E68" t="n">
        <v>2861</v>
      </c>
      <c r="F68" t="n">
        <v>4586</v>
      </c>
      <c r="G68" t="n">
        <v>57.32</v>
      </c>
      <c r="H68" t="n">
        <v>1</v>
      </c>
      <c r="I68" t="n">
        <v>2200</v>
      </c>
      <c r="J68" t="n">
        <v>2.08</v>
      </c>
      <c r="K68" t="n">
        <v>108</v>
      </c>
      <c r="L68" t="inlineStr">
        <is>
          <t>Under-represented</t>
        </is>
      </c>
    </row>
    <row r="69">
      <c r="A69" t="inlineStr">
        <is>
          <t>CON-066</t>
        </is>
      </c>
      <c r="B69" t="inlineStr">
        <is>
          <t>West Bengal</t>
        </is>
      </c>
      <c r="C69" t="inlineStr">
        <is>
          <t>West_Dist_66</t>
        </is>
      </c>
      <c r="D69" t="inlineStr">
        <is>
          <t>General</t>
        </is>
      </c>
      <c r="E69" t="n">
        <v>1483</v>
      </c>
      <c r="F69" t="n">
        <v>2555</v>
      </c>
      <c r="G69" t="n">
        <v>55.96</v>
      </c>
      <c r="H69" t="n">
        <v>1</v>
      </c>
      <c r="I69" t="n">
        <v>2200</v>
      </c>
      <c r="J69" t="n">
        <v>1.16</v>
      </c>
      <c r="K69" t="n">
        <v>16</v>
      </c>
      <c r="L69" t="inlineStr">
        <is>
          <t>Balanced</t>
        </is>
      </c>
    </row>
    <row r="70">
      <c r="A70" t="inlineStr">
        <is>
          <t>CON-067</t>
        </is>
      </c>
      <c r="B70" t="inlineStr">
        <is>
          <t>Karnataka</t>
        </is>
      </c>
      <c r="C70" t="inlineStr">
        <is>
          <t>Karnataka_Dist_67</t>
        </is>
      </c>
      <c r="D70" t="inlineStr">
        <is>
          <t>General</t>
        </is>
      </c>
      <c r="E70" t="n">
        <v>3560</v>
      </c>
      <c r="F70" t="n">
        <v>5006</v>
      </c>
      <c r="G70" t="n">
        <v>61.13</v>
      </c>
      <c r="H70" t="n">
        <v>1</v>
      </c>
      <c r="I70" t="n">
        <v>2200</v>
      </c>
      <c r="J70" t="n">
        <v>2.28</v>
      </c>
      <c r="K70" t="n">
        <v>128</v>
      </c>
      <c r="L70" t="inlineStr">
        <is>
          <t>Under-represented</t>
        </is>
      </c>
    </row>
    <row r="71">
      <c r="A71" t="inlineStr">
        <is>
          <t>CON-068</t>
        </is>
      </c>
      <c r="B71" t="inlineStr">
        <is>
          <t>Telangana</t>
        </is>
      </c>
      <c r="C71" t="inlineStr">
        <is>
          <t>Telangana_Dist_68</t>
        </is>
      </c>
      <c r="D71" t="inlineStr">
        <is>
          <t>General</t>
        </is>
      </c>
      <c r="E71" t="n">
        <v>2377</v>
      </c>
      <c r="F71" t="n">
        <v>4022</v>
      </c>
      <c r="G71" t="n">
        <v>84.45</v>
      </c>
      <c r="H71" t="n">
        <v>1</v>
      </c>
      <c r="I71" t="n">
        <v>2200</v>
      </c>
      <c r="J71" t="n">
        <v>1.83</v>
      </c>
      <c r="K71" t="n">
        <v>83</v>
      </c>
      <c r="L71" t="inlineStr">
        <is>
          <t>Under-represented</t>
        </is>
      </c>
    </row>
    <row r="72">
      <c r="A72" t="inlineStr">
        <is>
          <t>CON-069</t>
        </is>
      </c>
      <c r="B72" t="inlineStr">
        <is>
          <t>Kerala</t>
        </is>
      </c>
      <c r="C72" t="inlineStr">
        <is>
          <t>Kerala_Dist_69</t>
        </is>
      </c>
      <c r="D72" t="inlineStr">
        <is>
          <t>General</t>
        </is>
      </c>
      <c r="E72" t="n">
        <v>3463</v>
      </c>
      <c r="F72" t="n">
        <v>5751</v>
      </c>
      <c r="G72" t="n">
        <v>68.97</v>
      </c>
      <c r="H72" t="n">
        <v>1</v>
      </c>
      <c r="I72" t="n">
        <v>2200</v>
      </c>
      <c r="J72" t="n">
        <v>2.61</v>
      </c>
      <c r="K72" t="n">
        <v>161</v>
      </c>
      <c r="L72" t="inlineStr">
        <is>
          <t>Under-represented</t>
        </is>
      </c>
    </row>
    <row r="73">
      <c r="A73" t="inlineStr">
        <is>
          <t>CON-070</t>
        </is>
      </c>
      <c r="B73" t="inlineStr">
        <is>
          <t>Andhra Pradesh</t>
        </is>
      </c>
      <c r="C73" t="inlineStr">
        <is>
          <t>Andhra_Dist_70</t>
        </is>
      </c>
      <c r="D73" t="inlineStr">
        <is>
          <t>General</t>
        </is>
      </c>
      <c r="E73" t="n">
        <v>1356</v>
      </c>
      <c r="F73" t="n">
        <v>2135</v>
      </c>
      <c r="G73" t="n">
        <v>81.05</v>
      </c>
      <c r="H73" t="n">
        <v>1</v>
      </c>
      <c r="I73" t="n">
        <v>2200</v>
      </c>
      <c r="J73" t="n">
        <v>0.97</v>
      </c>
      <c r="K73" t="n">
        <v>3</v>
      </c>
      <c r="L73" t="inlineStr">
        <is>
          <t>Balanced</t>
        </is>
      </c>
    </row>
    <row r="74">
      <c r="A74" t="inlineStr">
        <is>
          <t>CON-071</t>
        </is>
      </c>
      <c r="B74" t="inlineStr">
        <is>
          <t>Andhra Pradesh</t>
        </is>
      </c>
      <c r="C74" t="inlineStr">
        <is>
          <t>Andhra_Dist_71</t>
        </is>
      </c>
      <c r="D74" t="inlineStr">
        <is>
          <t>General</t>
        </is>
      </c>
      <c r="E74" t="n">
        <v>2165</v>
      </c>
      <c r="F74" t="n">
        <v>2955</v>
      </c>
      <c r="G74" t="n">
        <v>59.36</v>
      </c>
      <c r="H74" t="n">
        <v>1</v>
      </c>
      <c r="I74" t="n">
        <v>2200</v>
      </c>
      <c r="J74" t="n">
        <v>1.34</v>
      </c>
      <c r="K74" t="n">
        <v>34</v>
      </c>
      <c r="L74" t="inlineStr">
        <is>
          <t>Under-represented</t>
        </is>
      </c>
    </row>
    <row r="75">
      <c r="A75" t="inlineStr">
        <is>
          <t>CON-072</t>
        </is>
      </c>
      <c r="B75" t="inlineStr">
        <is>
          <t>Telangana</t>
        </is>
      </c>
      <c r="C75" t="inlineStr">
        <is>
          <t>Telangana_Dist_72</t>
        </is>
      </c>
      <c r="D75" t="inlineStr">
        <is>
          <t>General</t>
        </is>
      </c>
      <c r="E75" t="n">
        <v>1455</v>
      </c>
      <c r="F75" t="n">
        <v>2182</v>
      </c>
      <c r="G75" t="n">
        <v>56.12</v>
      </c>
      <c r="H75" t="n">
        <v>1</v>
      </c>
      <c r="I75" t="n">
        <v>2200</v>
      </c>
      <c r="J75" t="n">
        <v>0.99</v>
      </c>
      <c r="K75" t="n">
        <v>1</v>
      </c>
      <c r="L75" t="inlineStr">
        <is>
          <t>Balanced</t>
        </is>
      </c>
    </row>
    <row r="76">
      <c r="A76" t="inlineStr">
        <is>
          <t>CON-073</t>
        </is>
      </c>
      <c r="B76" t="inlineStr">
        <is>
          <t>Telangana</t>
        </is>
      </c>
      <c r="C76" t="inlineStr">
        <is>
          <t>Telangana_Dist_73</t>
        </is>
      </c>
      <c r="D76" t="inlineStr">
        <is>
          <t>General</t>
        </is>
      </c>
      <c r="E76" t="n">
        <v>2728</v>
      </c>
      <c r="F76" t="n">
        <v>3997</v>
      </c>
      <c r="G76" t="n">
        <v>81.65000000000001</v>
      </c>
      <c r="H76" t="n">
        <v>1</v>
      </c>
      <c r="I76" t="n">
        <v>2200</v>
      </c>
      <c r="J76" t="n">
        <v>1.82</v>
      </c>
      <c r="K76" t="n">
        <v>82</v>
      </c>
      <c r="L76" t="inlineStr">
        <is>
          <t>Under-represented</t>
        </is>
      </c>
    </row>
    <row r="77">
      <c r="A77" t="inlineStr">
        <is>
          <t>CON-074</t>
        </is>
      </c>
      <c r="B77" t="inlineStr">
        <is>
          <t>Bihar</t>
        </is>
      </c>
      <c r="C77" t="inlineStr">
        <is>
          <t>Bihar_Dist_74</t>
        </is>
      </c>
      <c r="D77" t="inlineStr">
        <is>
          <t>General</t>
        </is>
      </c>
      <c r="E77" t="n">
        <v>2086</v>
      </c>
      <c r="F77" t="n">
        <v>3320</v>
      </c>
      <c r="G77" t="n">
        <v>67.59</v>
      </c>
      <c r="H77" t="n">
        <v>1</v>
      </c>
      <c r="I77" t="n">
        <v>2200</v>
      </c>
      <c r="J77" t="n">
        <v>1.51</v>
      </c>
      <c r="K77" t="n">
        <v>51</v>
      </c>
      <c r="L77" t="inlineStr">
        <is>
          <t>Under-represented</t>
        </is>
      </c>
    </row>
    <row r="78">
      <c r="A78" t="inlineStr">
        <is>
          <t>CON-075</t>
        </is>
      </c>
      <c r="B78" t="inlineStr">
        <is>
          <t>Gujarat</t>
        </is>
      </c>
      <c r="C78" t="inlineStr">
        <is>
          <t>Gujarat_Dist_75</t>
        </is>
      </c>
      <c r="D78" t="inlineStr">
        <is>
          <t>General</t>
        </is>
      </c>
      <c r="E78" t="n">
        <v>3645</v>
      </c>
      <c r="F78" t="n">
        <v>5347</v>
      </c>
      <c r="G78" t="n">
        <v>67.34</v>
      </c>
      <c r="H78" t="n">
        <v>1</v>
      </c>
      <c r="I78" t="n">
        <v>2200</v>
      </c>
      <c r="J78" t="n">
        <v>2.43</v>
      </c>
      <c r="K78" t="n">
        <v>143</v>
      </c>
      <c r="L78" t="inlineStr">
        <is>
          <t>Under-represented</t>
        </is>
      </c>
    </row>
    <row r="79">
      <c r="A79" t="inlineStr">
        <is>
          <t>CON-076</t>
        </is>
      </c>
      <c r="B79" t="inlineStr">
        <is>
          <t>Telangana</t>
        </is>
      </c>
      <c r="C79" t="inlineStr">
        <is>
          <t>Telangana_Dist_76</t>
        </is>
      </c>
      <c r="D79" t="inlineStr">
        <is>
          <t>General</t>
        </is>
      </c>
      <c r="E79" t="n">
        <v>2402</v>
      </c>
      <c r="F79" t="n">
        <v>3014</v>
      </c>
      <c r="G79" t="n">
        <v>55.09</v>
      </c>
      <c r="H79" t="n">
        <v>1</v>
      </c>
      <c r="I79" t="n">
        <v>2200</v>
      </c>
      <c r="J79" t="n">
        <v>1.37</v>
      </c>
      <c r="K79" t="n">
        <v>37</v>
      </c>
      <c r="L79" t="inlineStr">
        <is>
          <t>Under-represented</t>
        </is>
      </c>
    </row>
    <row r="80">
      <c r="A80" t="inlineStr">
        <is>
          <t>CON-077</t>
        </is>
      </c>
      <c r="B80" t="inlineStr">
        <is>
          <t>Maharashtra</t>
        </is>
      </c>
      <c r="C80" t="inlineStr">
        <is>
          <t>Maharashtra_Dist_77</t>
        </is>
      </c>
      <c r="D80" t="inlineStr">
        <is>
          <t>SC</t>
        </is>
      </c>
      <c r="E80" t="n">
        <v>1750</v>
      </c>
      <c r="F80" t="n">
        <v>2927</v>
      </c>
      <c r="G80" t="n">
        <v>62.13</v>
      </c>
      <c r="H80" t="n">
        <v>1</v>
      </c>
      <c r="I80" t="n">
        <v>2200</v>
      </c>
      <c r="J80" t="n">
        <v>1.33</v>
      </c>
      <c r="K80" t="n">
        <v>33</v>
      </c>
      <c r="L80" t="inlineStr">
        <is>
          <t>Under-represented</t>
        </is>
      </c>
    </row>
    <row r="81">
      <c r="A81" t="inlineStr">
        <is>
          <t>CON-078</t>
        </is>
      </c>
      <c r="B81" t="inlineStr">
        <is>
          <t>Tamil Nadu</t>
        </is>
      </c>
      <c r="C81" t="inlineStr">
        <is>
          <t>Tamil_Dist_78</t>
        </is>
      </c>
      <c r="D81" t="inlineStr">
        <is>
          <t>General</t>
        </is>
      </c>
      <c r="E81" t="n">
        <v>3634</v>
      </c>
      <c r="F81" t="n">
        <v>5621</v>
      </c>
      <c r="G81" t="n">
        <v>81.54000000000001</v>
      </c>
      <c r="H81" t="n">
        <v>1</v>
      </c>
      <c r="I81" t="n">
        <v>2200</v>
      </c>
      <c r="J81" t="n">
        <v>2.56</v>
      </c>
      <c r="K81" t="n">
        <v>156</v>
      </c>
      <c r="L81" t="inlineStr">
        <is>
          <t>Under-represented</t>
        </is>
      </c>
    </row>
    <row r="82">
      <c r="A82" t="inlineStr">
        <is>
          <t>CON-079</t>
        </is>
      </c>
      <c r="B82" t="inlineStr">
        <is>
          <t>Maharashtra</t>
        </is>
      </c>
      <c r="C82" t="inlineStr">
        <is>
          <t>Maharashtra_Dist_79</t>
        </is>
      </c>
      <c r="D82" t="inlineStr">
        <is>
          <t>General</t>
        </is>
      </c>
      <c r="E82" t="n">
        <v>3507</v>
      </c>
      <c r="F82" t="n">
        <v>5061</v>
      </c>
      <c r="G82" t="n">
        <v>71.3</v>
      </c>
      <c r="H82" t="n">
        <v>1</v>
      </c>
      <c r="I82" t="n">
        <v>2200</v>
      </c>
      <c r="J82" t="n">
        <v>2.3</v>
      </c>
      <c r="K82" t="n">
        <v>130</v>
      </c>
      <c r="L82" t="inlineStr">
        <is>
          <t>Under-represented</t>
        </is>
      </c>
    </row>
    <row r="83">
      <c r="A83" t="inlineStr">
        <is>
          <t>CON-080</t>
        </is>
      </c>
      <c r="B83" t="inlineStr">
        <is>
          <t>Uttar Pradesh</t>
        </is>
      </c>
      <c r="C83" t="inlineStr">
        <is>
          <t>Uttar_Dist_80</t>
        </is>
      </c>
      <c r="D83" t="inlineStr">
        <is>
          <t>ST</t>
        </is>
      </c>
      <c r="E83" t="n">
        <v>3530</v>
      </c>
      <c r="F83" t="n">
        <v>4566</v>
      </c>
      <c r="G83" t="n">
        <v>79.78</v>
      </c>
      <c r="H83" t="n">
        <v>1</v>
      </c>
      <c r="I83" t="n">
        <v>2200</v>
      </c>
      <c r="J83" t="n">
        <v>2.08</v>
      </c>
      <c r="K83" t="n">
        <v>108</v>
      </c>
      <c r="L83" t="inlineStr">
        <is>
          <t>Under-represented</t>
        </is>
      </c>
    </row>
    <row r="84">
      <c r="A84" t="inlineStr">
        <is>
          <t>CON-081</t>
        </is>
      </c>
      <c r="B84" t="inlineStr">
        <is>
          <t>Karnataka</t>
        </is>
      </c>
      <c r="C84" t="inlineStr">
        <is>
          <t>Karnataka_Dist_81</t>
        </is>
      </c>
      <c r="D84" t="inlineStr">
        <is>
          <t>General</t>
        </is>
      </c>
      <c r="E84" t="n">
        <v>1331</v>
      </c>
      <c r="F84" t="n">
        <v>2242</v>
      </c>
      <c r="G84" t="n">
        <v>52.99</v>
      </c>
      <c r="H84" t="n">
        <v>1</v>
      </c>
      <c r="I84" t="n">
        <v>2200</v>
      </c>
      <c r="J84" t="n">
        <v>1.02</v>
      </c>
      <c r="K84" t="n">
        <v>2</v>
      </c>
      <c r="L84" t="inlineStr">
        <is>
          <t>Balanced</t>
        </is>
      </c>
    </row>
    <row r="85">
      <c r="A85" t="inlineStr">
        <is>
          <t>CON-082</t>
        </is>
      </c>
      <c r="B85" t="inlineStr">
        <is>
          <t>Gujarat</t>
        </is>
      </c>
      <c r="C85" t="inlineStr">
        <is>
          <t>Gujarat_Dist_82</t>
        </is>
      </c>
      <c r="D85" t="inlineStr">
        <is>
          <t>SC</t>
        </is>
      </c>
      <c r="E85" t="n">
        <v>2690</v>
      </c>
      <c r="F85" t="n">
        <v>3835</v>
      </c>
      <c r="G85" t="n">
        <v>81.12</v>
      </c>
      <c r="H85" t="n">
        <v>1</v>
      </c>
      <c r="I85" t="n">
        <v>2200</v>
      </c>
      <c r="J85" t="n">
        <v>1.74</v>
      </c>
      <c r="K85" t="n">
        <v>74</v>
      </c>
      <c r="L85" t="inlineStr">
        <is>
          <t>Under-represented</t>
        </is>
      </c>
    </row>
    <row r="86">
      <c r="A86" t="inlineStr">
        <is>
          <t>CON-083</t>
        </is>
      </c>
      <c r="B86" t="inlineStr">
        <is>
          <t>Karnataka</t>
        </is>
      </c>
      <c r="C86" t="inlineStr">
        <is>
          <t>Karnataka_Dist_83</t>
        </is>
      </c>
      <c r="D86" t="inlineStr">
        <is>
          <t>General</t>
        </is>
      </c>
      <c r="E86" t="n">
        <v>1927</v>
      </c>
      <c r="F86" t="n">
        <v>3147</v>
      </c>
      <c r="G86" t="n">
        <v>75.14</v>
      </c>
      <c r="H86" t="n">
        <v>1</v>
      </c>
      <c r="I86" t="n">
        <v>2200</v>
      </c>
      <c r="J86" t="n">
        <v>1.43</v>
      </c>
      <c r="K86" t="n">
        <v>43</v>
      </c>
      <c r="L86" t="inlineStr">
        <is>
          <t>Under-represented</t>
        </is>
      </c>
    </row>
    <row r="87">
      <c r="A87" t="inlineStr">
        <is>
          <t>CON-084</t>
        </is>
      </c>
      <c r="B87" t="inlineStr">
        <is>
          <t>Tamil Nadu</t>
        </is>
      </c>
      <c r="C87" t="inlineStr">
        <is>
          <t>Tamil_Dist_84</t>
        </is>
      </c>
      <c r="D87" t="inlineStr">
        <is>
          <t>SC</t>
        </is>
      </c>
      <c r="E87" t="n">
        <v>2552</v>
      </c>
      <c r="F87" t="n">
        <v>4077</v>
      </c>
      <c r="G87" t="n">
        <v>70.36</v>
      </c>
      <c r="H87" t="n">
        <v>1</v>
      </c>
      <c r="I87" t="n">
        <v>2200</v>
      </c>
      <c r="J87" t="n">
        <v>1.85</v>
      </c>
      <c r="K87" t="n">
        <v>85</v>
      </c>
      <c r="L87" t="inlineStr">
        <is>
          <t>Under-represented</t>
        </is>
      </c>
    </row>
    <row r="88">
      <c r="A88" t="inlineStr">
        <is>
          <t>CON-085</t>
        </is>
      </c>
      <c r="B88" t="inlineStr">
        <is>
          <t>Tamil Nadu</t>
        </is>
      </c>
      <c r="C88" t="inlineStr">
        <is>
          <t>Tamil_Dist_85</t>
        </is>
      </c>
      <c r="D88" t="inlineStr">
        <is>
          <t>General</t>
        </is>
      </c>
      <c r="E88" t="n">
        <v>1924</v>
      </c>
      <c r="F88" t="n">
        <v>2725</v>
      </c>
      <c r="G88" t="n">
        <v>76.92</v>
      </c>
      <c r="H88" t="n">
        <v>1</v>
      </c>
      <c r="I88" t="n">
        <v>2200</v>
      </c>
      <c r="J88" t="n">
        <v>1.24</v>
      </c>
      <c r="K88" t="n">
        <v>24</v>
      </c>
      <c r="L88" t="inlineStr">
        <is>
          <t>Balanced</t>
        </is>
      </c>
    </row>
    <row r="89">
      <c r="A89" t="inlineStr">
        <is>
          <t>CON-086</t>
        </is>
      </c>
      <c r="B89" t="inlineStr">
        <is>
          <t>Andhra Pradesh</t>
        </is>
      </c>
      <c r="C89" t="inlineStr">
        <is>
          <t>Andhra_Dist_86</t>
        </is>
      </c>
      <c r="D89" t="inlineStr">
        <is>
          <t>General</t>
        </is>
      </c>
      <c r="E89" t="n">
        <v>2310</v>
      </c>
      <c r="F89" t="n">
        <v>3346</v>
      </c>
      <c r="G89" t="n">
        <v>55.33</v>
      </c>
      <c r="H89" t="n">
        <v>1</v>
      </c>
      <c r="I89" t="n">
        <v>2200</v>
      </c>
      <c r="J89" t="n">
        <v>1.52</v>
      </c>
      <c r="K89" t="n">
        <v>52</v>
      </c>
      <c r="L89" t="inlineStr">
        <is>
          <t>Under-represented</t>
        </is>
      </c>
    </row>
    <row r="90">
      <c r="A90" t="inlineStr">
        <is>
          <t>CON-087</t>
        </is>
      </c>
      <c r="B90" t="inlineStr">
        <is>
          <t>Andhra Pradesh</t>
        </is>
      </c>
      <c r="C90" t="inlineStr">
        <is>
          <t>Andhra_Dist_87</t>
        </is>
      </c>
      <c r="D90" t="inlineStr">
        <is>
          <t>General</t>
        </is>
      </c>
      <c r="E90" t="n">
        <v>2485</v>
      </c>
      <c r="F90" t="n">
        <v>3881</v>
      </c>
      <c r="G90" t="n">
        <v>62.54</v>
      </c>
      <c r="H90" t="n">
        <v>1</v>
      </c>
      <c r="I90" t="n">
        <v>2200</v>
      </c>
      <c r="J90" t="n">
        <v>1.76</v>
      </c>
      <c r="K90" t="n">
        <v>76</v>
      </c>
      <c r="L90" t="inlineStr">
        <is>
          <t>Under-represented</t>
        </is>
      </c>
    </row>
    <row r="91">
      <c r="A91" t="inlineStr">
        <is>
          <t>CON-088</t>
        </is>
      </c>
      <c r="B91" t="inlineStr">
        <is>
          <t>Andhra Pradesh</t>
        </is>
      </c>
      <c r="C91" t="inlineStr">
        <is>
          <t>Andhra_Dist_88</t>
        </is>
      </c>
      <c r="D91" t="inlineStr">
        <is>
          <t>SC</t>
        </is>
      </c>
      <c r="E91" t="n">
        <v>2459</v>
      </c>
      <c r="F91" t="n">
        <v>3668</v>
      </c>
      <c r="G91" t="n">
        <v>78.98999999999999</v>
      </c>
      <c r="H91" t="n">
        <v>1</v>
      </c>
      <c r="I91" t="n">
        <v>2200</v>
      </c>
      <c r="J91" t="n">
        <v>1.67</v>
      </c>
      <c r="K91" t="n">
        <v>67</v>
      </c>
      <c r="L91" t="inlineStr">
        <is>
          <t>Under-represented</t>
        </is>
      </c>
    </row>
    <row r="92">
      <c r="A92" t="inlineStr">
        <is>
          <t>CON-089</t>
        </is>
      </c>
      <c r="B92" t="inlineStr">
        <is>
          <t>West Bengal</t>
        </is>
      </c>
      <c r="C92" t="inlineStr">
        <is>
          <t>West_Dist_89</t>
        </is>
      </c>
      <c r="D92" t="inlineStr">
        <is>
          <t>ST</t>
        </is>
      </c>
      <c r="E92" t="n">
        <v>2006</v>
      </c>
      <c r="F92" t="n">
        <v>3007</v>
      </c>
      <c r="G92" t="n">
        <v>65.06</v>
      </c>
      <c r="H92" t="n">
        <v>1</v>
      </c>
      <c r="I92" t="n">
        <v>2200</v>
      </c>
      <c r="J92" t="n">
        <v>1.37</v>
      </c>
      <c r="K92" t="n">
        <v>37</v>
      </c>
      <c r="L92" t="inlineStr">
        <is>
          <t>Under-represented</t>
        </is>
      </c>
    </row>
    <row r="93">
      <c r="A93" t="inlineStr">
        <is>
          <t>CON-090</t>
        </is>
      </c>
      <c r="B93" t="inlineStr">
        <is>
          <t>Uttar Pradesh</t>
        </is>
      </c>
      <c r="C93" t="inlineStr">
        <is>
          <t>Uttar_Dist_90</t>
        </is>
      </c>
      <c r="D93" t="inlineStr">
        <is>
          <t>General</t>
        </is>
      </c>
      <c r="E93" t="n">
        <v>2304</v>
      </c>
      <c r="F93" t="n">
        <v>3189</v>
      </c>
      <c r="G93" t="n">
        <v>53.38</v>
      </c>
      <c r="H93" t="n">
        <v>1</v>
      </c>
      <c r="I93" t="n">
        <v>2200</v>
      </c>
      <c r="J93" t="n">
        <v>1.45</v>
      </c>
      <c r="K93" t="n">
        <v>45</v>
      </c>
      <c r="L93" t="inlineStr">
        <is>
          <t>Under-represented</t>
        </is>
      </c>
    </row>
    <row r="94">
      <c r="A94" t="inlineStr">
        <is>
          <t>CON-091</t>
        </is>
      </c>
      <c r="B94" t="inlineStr">
        <is>
          <t>Telangana</t>
        </is>
      </c>
      <c r="C94" t="inlineStr">
        <is>
          <t>Telangana_Dist_91</t>
        </is>
      </c>
      <c r="D94" t="inlineStr">
        <is>
          <t>General</t>
        </is>
      </c>
      <c r="E94" t="n">
        <v>2808</v>
      </c>
      <c r="F94" t="n">
        <v>4639</v>
      </c>
      <c r="G94" t="n">
        <v>64.69</v>
      </c>
      <c r="H94" t="n">
        <v>1</v>
      </c>
      <c r="I94" t="n">
        <v>2200</v>
      </c>
      <c r="J94" t="n">
        <v>2.11</v>
      </c>
      <c r="K94" t="n">
        <v>111</v>
      </c>
      <c r="L94" t="inlineStr">
        <is>
          <t>Under-represented</t>
        </is>
      </c>
    </row>
    <row r="95">
      <c r="A95" t="inlineStr">
        <is>
          <t>CON-092</t>
        </is>
      </c>
      <c r="B95" t="inlineStr">
        <is>
          <t>Andhra Pradesh</t>
        </is>
      </c>
      <c r="C95" t="inlineStr">
        <is>
          <t>Andhra_Dist_92</t>
        </is>
      </c>
      <c r="D95" t="inlineStr">
        <is>
          <t>General</t>
        </is>
      </c>
      <c r="E95" t="n">
        <v>3392</v>
      </c>
      <c r="F95" t="n">
        <v>4994</v>
      </c>
      <c r="G95" t="n">
        <v>82.97</v>
      </c>
      <c r="H95" t="n">
        <v>1</v>
      </c>
      <c r="I95" t="n">
        <v>2200</v>
      </c>
      <c r="J95" t="n">
        <v>2.27</v>
      </c>
      <c r="K95" t="n">
        <v>127</v>
      </c>
      <c r="L95" t="inlineStr">
        <is>
          <t>Under-represented</t>
        </is>
      </c>
    </row>
    <row r="96">
      <c r="A96" t="inlineStr">
        <is>
          <t>CON-093</t>
        </is>
      </c>
      <c r="B96" t="inlineStr">
        <is>
          <t>Uttar Pradesh</t>
        </is>
      </c>
      <c r="C96" t="inlineStr">
        <is>
          <t>Uttar_Dist_93</t>
        </is>
      </c>
      <c r="D96" t="inlineStr">
        <is>
          <t>SC</t>
        </is>
      </c>
      <c r="E96" t="n">
        <v>1359</v>
      </c>
      <c r="F96" t="n">
        <v>2060</v>
      </c>
      <c r="G96" t="n">
        <v>77.31</v>
      </c>
      <c r="H96" t="n">
        <v>1</v>
      </c>
      <c r="I96" t="n">
        <v>2200</v>
      </c>
      <c r="J96" t="n">
        <v>0.9399999999999999</v>
      </c>
      <c r="K96" t="n">
        <v>6</v>
      </c>
      <c r="L96" t="inlineStr">
        <is>
          <t>Balanced</t>
        </is>
      </c>
    </row>
    <row r="97">
      <c r="A97" t="inlineStr">
        <is>
          <t>CON-094</t>
        </is>
      </c>
      <c r="B97" t="inlineStr">
        <is>
          <t>West Bengal</t>
        </is>
      </c>
      <c r="C97" t="inlineStr">
        <is>
          <t>West_Dist_94</t>
        </is>
      </c>
      <c r="D97" t="inlineStr">
        <is>
          <t>General</t>
        </is>
      </c>
      <c r="E97" t="n">
        <v>3562</v>
      </c>
      <c r="F97" t="n">
        <v>5394</v>
      </c>
      <c r="G97" t="n">
        <v>78.79000000000001</v>
      </c>
      <c r="H97" t="n">
        <v>1</v>
      </c>
      <c r="I97" t="n">
        <v>2200</v>
      </c>
      <c r="J97" t="n">
        <v>2.45</v>
      </c>
      <c r="K97" t="n">
        <v>145</v>
      </c>
      <c r="L97" t="inlineStr">
        <is>
          <t>Under-represented</t>
        </is>
      </c>
    </row>
    <row r="98">
      <c r="A98" t="inlineStr">
        <is>
          <t>CON-095</t>
        </is>
      </c>
      <c r="B98" t="inlineStr">
        <is>
          <t>Uttar Pradesh</t>
        </is>
      </c>
      <c r="C98" t="inlineStr">
        <is>
          <t>Uttar_Dist_95</t>
        </is>
      </c>
      <c r="D98" t="inlineStr">
        <is>
          <t>General</t>
        </is>
      </c>
      <c r="E98" t="n">
        <v>2439</v>
      </c>
      <c r="F98" t="n">
        <v>3898</v>
      </c>
      <c r="G98" t="n">
        <v>80.70999999999999</v>
      </c>
      <c r="H98" t="n">
        <v>1</v>
      </c>
      <c r="I98" t="n">
        <v>2200</v>
      </c>
      <c r="J98" t="n">
        <v>1.77</v>
      </c>
      <c r="K98" t="n">
        <v>77</v>
      </c>
      <c r="L98" t="inlineStr">
        <is>
          <t>Under-represented</t>
        </is>
      </c>
    </row>
    <row r="99">
      <c r="A99" t="inlineStr">
        <is>
          <t>CON-096</t>
        </is>
      </c>
      <c r="B99" t="inlineStr">
        <is>
          <t>Andhra Pradesh</t>
        </is>
      </c>
      <c r="C99" t="inlineStr">
        <is>
          <t>Andhra_Dist_96</t>
        </is>
      </c>
      <c r="D99" t="inlineStr">
        <is>
          <t>General</t>
        </is>
      </c>
      <c r="E99" t="n">
        <v>3277</v>
      </c>
      <c r="F99" t="n">
        <v>4659</v>
      </c>
      <c r="G99" t="n">
        <v>62.25</v>
      </c>
      <c r="H99" t="n">
        <v>1</v>
      </c>
      <c r="I99" t="n">
        <v>2200</v>
      </c>
      <c r="J99" t="n">
        <v>2.12</v>
      </c>
      <c r="K99" t="n">
        <v>112</v>
      </c>
      <c r="L99" t="inlineStr">
        <is>
          <t>Under-represented</t>
        </is>
      </c>
    </row>
    <row r="100">
      <c r="A100" t="inlineStr">
        <is>
          <t>CON-097</t>
        </is>
      </c>
      <c r="B100" t="inlineStr">
        <is>
          <t>Tamil Nadu</t>
        </is>
      </c>
      <c r="C100" t="inlineStr">
        <is>
          <t>Tamil_Dist_97</t>
        </is>
      </c>
      <c r="D100" t="inlineStr">
        <is>
          <t>General</t>
        </is>
      </c>
      <c r="E100" t="n">
        <v>3570</v>
      </c>
      <c r="F100" t="n">
        <v>5072</v>
      </c>
      <c r="G100" t="n">
        <v>81.09</v>
      </c>
      <c r="H100" t="n">
        <v>1</v>
      </c>
      <c r="I100" t="n">
        <v>2200</v>
      </c>
      <c r="J100" t="n">
        <v>2.31</v>
      </c>
      <c r="K100" t="n">
        <v>131</v>
      </c>
      <c r="L100" t="inlineStr">
        <is>
          <t>Under-represented</t>
        </is>
      </c>
    </row>
    <row r="101">
      <c r="A101" t="inlineStr">
        <is>
          <t>CON-098</t>
        </is>
      </c>
      <c r="B101" t="inlineStr">
        <is>
          <t>Telangana</t>
        </is>
      </c>
      <c r="C101" t="inlineStr">
        <is>
          <t>Telangana_Dist_98</t>
        </is>
      </c>
      <c r="D101" t="inlineStr">
        <is>
          <t>General</t>
        </is>
      </c>
      <c r="E101" t="n">
        <v>2658</v>
      </c>
      <c r="F101" t="n">
        <v>3457</v>
      </c>
      <c r="G101" t="n">
        <v>54.1</v>
      </c>
      <c r="H101" t="n">
        <v>1</v>
      </c>
      <c r="I101" t="n">
        <v>2200</v>
      </c>
      <c r="J101" t="n">
        <v>1.57</v>
      </c>
      <c r="K101" t="n">
        <v>57</v>
      </c>
      <c r="L101" t="inlineStr">
        <is>
          <t>Under-represented</t>
        </is>
      </c>
    </row>
    <row r="102">
      <c r="A102" t="inlineStr">
        <is>
          <t>CON-099</t>
        </is>
      </c>
      <c r="B102" t="inlineStr">
        <is>
          <t>Telangana</t>
        </is>
      </c>
      <c r="C102" t="inlineStr">
        <is>
          <t>Telangana_Dist_99</t>
        </is>
      </c>
      <c r="D102" t="inlineStr">
        <is>
          <t>General</t>
        </is>
      </c>
      <c r="E102" t="n">
        <v>3724</v>
      </c>
      <c r="F102" t="n">
        <v>6064</v>
      </c>
      <c r="G102" t="n">
        <v>54.44</v>
      </c>
      <c r="H102" t="n">
        <v>1</v>
      </c>
      <c r="I102" t="n">
        <v>2200</v>
      </c>
      <c r="J102" t="n">
        <v>2.76</v>
      </c>
      <c r="K102" t="n">
        <v>176</v>
      </c>
      <c r="L102" t="inlineStr">
        <is>
          <t>Under-represented</t>
        </is>
      </c>
    </row>
    <row r="103">
      <c r="A103" t="inlineStr">
        <is>
          <t>CON-100</t>
        </is>
      </c>
      <c r="B103" t="inlineStr">
        <is>
          <t>Bihar</t>
        </is>
      </c>
      <c r="C103" t="inlineStr">
        <is>
          <t>Bihar_Dist_100</t>
        </is>
      </c>
      <c r="D103" t="inlineStr">
        <is>
          <t>SC</t>
        </is>
      </c>
      <c r="E103" t="n">
        <v>3112</v>
      </c>
      <c r="F103" t="n">
        <v>4638</v>
      </c>
      <c r="G103" t="n">
        <v>70.90000000000001</v>
      </c>
      <c r="H103" t="n">
        <v>1</v>
      </c>
      <c r="I103" t="n">
        <v>2200</v>
      </c>
      <c r="J103" t="n">
        <v>2.11</v>
      </c>
      <c r="K103" t="n">
        <v>111</v>
      </c>
      <c r="L103" t="inlineStr">
        <is>
          <t>Under-represented</t>
        </is>
      </c>
    </row>
    <row r="104">
      <c r="A104" t="inlineStr">
        <is>
          <t>CON-101</t>
        </is>
      </c>
      <c r="B104" t="inlineStr">
        <is>
          <t>Karnataka</t>
        </is>
      </c>
      <c r="C104" t="inlineStr">
        <is>
          <t>Karnataka_Dist_101</t>
        </is>
      </c>
      <c r="D104" t="inlineStr">
        <is>
          <t>General</t>
        </is>
      </c>
      <c r="E104" t="n">
        <v>3482</v>
      </c>
      <c r="F104" t="n">
        <v>5553</v>
      </c>
      <c r="G104" t="n">
        <v>72.19</v>
      </c>
      <c r="H104" t="n">
        <v>1</v>
      </c>
      <c r="I104" t="n">
        <v>2200</v>
      </c>
      <c r="J104" t="n">
        <v>2.52</v>
      </c>
      <c r="K104" t="n">
        <v>152</v>
      </c>
      <c r="L104" t="inlineStr">
        <is>
          <t>Under-represented</t>
        </is>
      </c>
    </row>
    <row r="105">
      <c r="A105" t="inlineStr">
        <is>
          <t>CON-102</t>
        </is>
      </c>
      <c r="B105" t="inlineStr">
        <is>
          <t>Tamil Nadu</t>
        </is>
      </c>
      <c r="C105" t="inlineStr">
        <is>
          <t>Tamil_Dist_102</t>
        </is>
      </c>
      <c r="D105" t="inlineStr">
        <is>
          <t>ST</t>
        </is>
      </c>
      <c r="E105" t="n">
        <v>3762</v>
      </c>
      <c r="F105" t="n">
        <v>6497</v>
      </c>
      <c r="G105" t="n">
        <v>61.28</v>
      </c>
      <c r="H105" t="n">
        <v>1</v>
      </c>
      <c r="I105" t="n">
        <v>2200</v>
      </c>
      <c r="J105" t="n">
        <v>2.95</v>
      </c>
      <c r="K105" t="n">
        <v>195</v>
      </c>
      <c r="L105" t="inlineStr">
        <is>
          <t>Under-represented</t>
        </is>
      </c>
    </row>
    <row r="106">
      <c r="A106" t="inlineStr">
        <is>
          <t>CON-103</t>
        </is>
      </c>
      <c r="B106" t="inlineStr">
        <is>
          <t>Karnataka</t>
        </is>
      </c>
      <c r="C106" t="inlineStr">
        <is>
          <t>Karnataka_Dist_103</t>
        </is>
      </c>
      <c r="D106" t="inlineStr">
        <is>
          <t>General</t>
        </is>
      </c>
      <c r="E106" t="n">
        <v>2085</v>
      </c>
      <c r="F106" t="n">
        <v>2932</v>
      </c>
      <c r="G106" t="n">
        <v>80.47</v>
      </c>
      <c r="H106" t="n">
        <v>1</v>
      </c>
      <c r="I106" t="n">
        <v>2200</v>
      </c>
      <c r="J106" t="n">
        <v>1.33</v>
      </c>
      <c r="K106" t="n">
        <v>33</v>
      </c>
      <c r="L106" t="inlineStr">
        <is>
          <t>Under-represented</t>
        </is>
      </c>
    </row>
    <row r="107">
      <c r="A107" t="inlineStr">
        <is>
          <t>CON-104</t>
        </is>
      </c>
      <c r="B107" t="inlineStr">
        <is>
          <t>Karnataka</t>
        </is>
      </c>
      <c r="C107" t="inlineStr">
        <is>
          <t>Karnataka_Dist_104</t>
        </is>
      </c>
      <c r="D107" t="inlineStr">
        <is>
          <t>General</t>
        </is>
      </c>
      <c r="E107" t="n">
        <v>2512</v>
      </c>
      <c r="F107" t="n">
        <v>3861</v>
      </c>
      <c r="G107" t="n">
        <v>80.55</v>
      </c>
      <c r="H107" t="n">
        <v>1</v>
      </c>
      <c r="I107" t="n">
        <v>2200</v>
      </c>
      <c r="J107" t="n">
        <v>1.75</v>
      </c>
      <c r="K107" t="n">
        <v>75</v>
      </c>
      <c r="L107" t="inlineStr">
        <is>
          <t>Under-represented</t>
        </is>
      </c>
    </row>
    <row r="108">
      <c r="A108" t="inlineStr">
        <is>
          <t>CON-105</t>
        </is>
      </c>
      <c r="B108" t="inlineStr">
        <is>
          <t>Tamil Nadu</t>
        </is>
      </c>
      <c r="C108" t="inlineStr">
        <is>
          <t>Tamil_Dist_105</t>
        </is>
      </c>
      <c r="D108" t="inlineStr">
        <is>
          <t>General</t>
        </is>
      </c>
      <c r="E108" t="n">
        <v>3558</v>
      </c>
      <c r="F108" t="n">
        <v>4681</v>
      </c>
      <c r="G108" t="n">
        <v>80.27</v>
      </c>
      <c r="H108" t="n">
        <v>1</v>
      </c>
      <c r="I108" t="n">
        <v>2200</v>
      </c>
      <c r="J108" t="n">
        <v>2.13</v>
      </c>
      <c r="K108" t="n">
        <v>113</v>
      </c>
      <c r="L108" t="inlineStr">
        <is>
          <t>Under-represented</t>
        </is>
      </c>
    </row>
    <row r="109">
      <c r="A109" t="inlineStr">
        <is>
          <t>CON-106</t>
        </is>
      </c>
      <c r="B109" t="inlineStr">
        <is>
          <t>Karnataka</t>
        </is>
      </c>
      <c r="C109" t="inlineStr">
        <is>
          <t>Karnataka_Dist_106</t>
        </is>
      </c>
      <c r="D109" t="inlineStr">
        <is>
          <t>General</t>
        </is>
      </c>
      <c r="E109" t="n">
        <v>2093</v>
      </c>
      <c r="F109" t="n">
        <v>3578</v>
      </c>
      <c r="G109" t="n">
        <v>74.39</v>
      </c>
      <c r="H109" t="n">
        <v>1</v>
      </c>
      <c r="I109" t="n">
        <v>2200</v>
      </c>
      <c r="J109" t="n">
        <v>1.63</v>
      </c>
      <c r="K109" t="n">
        <v>63</v>
      </c>
      <c r="L109" t="inlineStr">
        <is>
          <t>Under-represented</t>
        </is>
      </c>
    </row>
    <row r="110">
      <c r="A110" t="inlineStr">
        <is>
          <t>CON-107</t>
        </is>
      </c>
      <c r="B110" t="inlineStr">
        <is>
          <t>Telangana</t>
        </is>
      </c>
      <c r="C110" t="inlineStr">
        <is>
          <t>Telangana_Dist_107</t>
        </is>
      </c>
      <c r="D110" t="inlineStr">
        <is>
          <t>General</t>
        </is>
      </c>
      <c r="E110" t="n">
        <v>2790</v>
      </c>
      <c r="F110" t="n">
        <v>4197</v>
      </c>
      <c r="G110" t="n">
        <v>66.92</v>
      </c>
      <c r="H110" t="n">
        <v>1</v>
      </c>
      <c r="I110" t="n">
        <v>2200</v>
      </c>
      <c r="J110" t="n">
        <v>1.91</v>
      </c>
      <c r="K110" t="n">
        <v>91</v>
      </c>
      <c r="L110" t="inlineStr">
        <is>
          <t>Under-represented</t>
        </is>
      </c>
    </row>
    <row r="111">
      <c r="A111" t="inlineStr">
        <is>
          <t>CON-108</t>
        </is>
      </c>
      <c r="B111" t="inlineStr">
        <is>
          <t>Bihar</t>
        </is>
      </c>
      <c r="C111" t="inlineStr">
        <is>
          <t>Bihar_Dist_108</t>
        </is>
      </c>
      <c r="D111" t="inlineStr">
        <is>
          <t>General</t>
        </is>
      </c>
      <c r="E111" t="n">
        <v>2264</v>
      </c>
      <c r="F111" t="n">
        <v>3911</v>
      </c>
      <c r="G111" t="n">
        <v>72.25</v>
      </c>
      <c r="H111" t="n">
        <v>1</v>
      </c>
      <c r="I111" t="n">
        <v>2200</v>
      </c>
      <c r="J111" t="n">
        <v>1.78</v>
      </c>
      <c r="K111" t="n">
        <v>78</v>
      </c>
      <c r="L111" t="inlineStr">
        <is>
          <t>Under-represented</t>
        </is>
      </c>
    </row>
    <row r="112">
      <c r="A112" t="inlineStr">
        <is>
          <t>CON-109</t>
        </is>
      </c>
      <c r="B112" t="inlineStr">
        <is>
          <t>Maharashtra</t>
        </is>
      </c>
      <c r="C112" t="inlineStr">
        <is>
          <t>Maharashtra_Dist_109</t>
        </is>
      </c>
      <c r="D112" t="inlineStr">
        <is>
          <t>ST</t>
        </is>
      </c>
      <c r="E112" t="n">
        <v>2241</v>
      </c>
      <c r="F112" t="n">
        <v>3673</v>
      </c>
      <c r="G112" t="n">
        <v>78.11</v>
      </c>
      <c r="H112" t="n">
        <v>1</v>
      </c>
      <c r="I112" t="n">
        <v>2200</v>
      </c>
      <c r="J112" t="n">
        <v>1.67</v>
      </c>
      <c r="K112" t="n">
        <v>67</v>
      </c>
      <c r="L112" t="inlineStr">
        <is>
          <t>Under-represented</t>
        </is>
      </c>
    </row>
    <row r="113">
      <c r="A113" t="inlineStr">
        <is>
          <t>CON-110</t>
        </is>
      </c>
      <c r="B113" t="inlineStr">
        <is>
          <t>Maharashtra</t>
        </is>
      </c>
      <c r="C113" t="inlineStr">
        <is>
          <t>Maharashtra_Dist_110</t>
        </is>
      </c>
      <c r="D113" t="inlineStr">
        <is>
          <t>General</t>
        </is>
      </c>
      <c r="E113" t="n">
        <v>3620</v>
      </c>
      <c r="F113" t="n">
        <v>4804</v>
      </c>
      <c r="G113" t="n">
        <v>63.17</v>
      </c>
      <c r="H113" t="n">
        <v>1</v>
      </c>
      <c r="I113" t="n">
        <v>2200</v>
      </c>
      <c r="J113" t="n">
        <v>2.18</v>
      </c>
      <c r="K113" t="n">
        <v>118</v>
      </c>
      <c r="L113" t="inlineStr">
        <is>
          <t>Under-represented</t>
        </is>
      </c>
    </row>
    <row r="114">
      <c r="A114" t="inlineStr">
        <is>
          <t>CON-111</t>
        </is>
      </c>
      <c r="B114" t="inlineStr">
        <is>
          <t>Maharashtra</t>
        </is>
      </c>
      <c r="C114" t="inlineStr">
        <is>
          <t>Maharashtra_Dist_111</t>
        </is>
      </c>
      <c r="D114" t="inlineStr">
        <is>
          <t>General</t>
        </is>
      </c>
      <c r="E114" t="n">
        <v>1793</v>
      </c>
      <c r="F114" t="n">
        <v>2507</v>
      </c>
      <c r="G114" t="n">
        <v>71.36</v>
      </c>
      <c r="H114" t="n">
        <v>1</v>
      </c>
      <c r="I114" t="n">
        <v>2200</v>
      </c>
      <c r="J114" t="n">
        <v>1.14</v>
      </c>
      <c r="K114" t="n">
        <v>14</v>
      </c>
      <c r="L114" t="inlineStr">
        <is>
          <t>Balanced</t>
        </is>
      </c>
    </row>
    <row r="115">
      <c r="A115" t="inlineStr">
        <is>
          <t>CON-112</t>
        </is>
      </c>
      <c r="B115" t="inlineStr">
        <is>
          <t>West Bengal</t>
        </is>
      </c>
      <c r="C115" t="inlineStr">
        <is>
          <t>West_Dist_112</t>
        </is>
      </c>
      <c r="D115" t="inlineStr">
        <is>
          <t>SC</t>
        </is>
      </c>
      <c r="E115" t="n">
        <v>3041</v>
      </c>
      <c r="F115" t="n">
        <v>4303</v>
      </c>
      <c r="G115" t="n">
        <v>66.05</v>
      </c>
      <c r="H115" t="n">
        <v>1</v>
      </c>
      <c r="I115" t="n">
        <v>2200</v>
      </c>
      <c r="J115" t="n">
        <v>1.96</v>
      </c>
      <c r="K115" t="n">
        <v>96</v>
      </c>
      <c r="L115" t="inlineStr">
        <is>
          <t>Under-represented</t>
        </is>
      </c>
    </row>
    <row r="116">
      <c r="A116" t="inlineStr">
        <is>
          <t>CON-113</t>
        </is>
      </c>
      <c r="B116" t="inlineStr">
        <is>
          <t>West Bengal</t>
        </is>
      </c>
      <c r="C116" t="inlineStr">
        <is>
          <t>West_Dist_113</t>
        </is>
      </c>
      <c r="D116" t="inlineStr">
        <is>
          <t>General</t>
        </is>
      </c>
      <c r="E116" t="n">
        <v>3194</v>
      </c>
      <c r="F116" t="n">
        <v>5334</v>
      </c>
      <c r="G116" t="n">
        <v>68.02</v>
      </c>
      <c r="H116" t="n">
        <v>1</v>
      </c>
      <c r="I116" t="n">
        <v>2200</v>
      </c>
      <c r="J116" t="n">
        <v>2.42</v>
      </c>
      <c r="K116" t="n">
        <v>142</v>
      </c>
      <c r="L116" t="inlineStr">
        <is>
          <t>Under-represented</t>
        </is>
      </c>
    </row>
    <row r="117">
      <c r="A117" t="inlineStr">
        <is>
          <t>CON-114</t>
        </is>
      </c>
      <c r="B117" t="inlineStr">
        <is>
          <t>Andhra Pradesh</t>
        </is>
      </c>
      <c r="C117" t="inlineStr">
        <is>
          <t>Andhra_Dist_114</t>
        </is>
      </c>
      <c r="D117" t="inlineStr">
        <is>
          <t>SC</t>
        </is>
      </c>
      <c r="E117" t="n">
        <v>2444</v>
      </c>
      <c r="F117" t="n">
        <v>4240</v>
      </c>
      <c r="G117" t="n">
        <v>56.69</v>
      </c>
      <c r="H117" t="n">
        <v>1</v>
      </c>
      <c r="I117" t="n">
        <v>2200</v>
      </c>
      <c r="J117" t="n">
        <v>1.93</v>
      </c>
      <c r="K117" t="n">
        <v>93</v>
      </c>
      <c r="L117" t="inlineStr">
        <is>
          <t>Under-represented</t>
        </is>
      </c>
    </row>
    <row r="118">
      <c r="A118" t="inlineStr">
        <is>
          <t>CON-115</t>
        </is>
      </c>
      <c r="B118" t="inlineStr">
        <is>
          <t>Telangana</t>
        </is>
      </c>
      <c r="C118" t="inlineStr">
        <is>
          <t>Telangana_Dist_115</t>
        </is>
      </c>
      <c r="D118" t="inlineStr">
        <is>
          <t>General</t>
        </is>
      </c>
      <c r="E118" t="n">
        <v>2534</v>
      </c>
      <c r="F118" t="n">
        <v>3936</v>
      </c>
      <c r="G118" t="n">
        <v>76.87</v>
      </c>
      <c r="H118" t="n">
        <v>1</v>
      </c>
      <c r="I118" t="n">
        <v>2200</v>
      </c>
      <c r="J118" t="n">
        <v>1.79</v>
      </c>
      <c r="K118" t="n">
        <v>79</v>
      </c>
      <c r="L118" t="inlineStr">
        <is>
          <t>Under-represented</t>
        </is>
      </c>
    </row>
    <row r="119">
      <c r="A119" t="inlineStr">
        <is>
          <t>CON-116</t>
        </is>
      </c>
      <c r="B119" t="inlineStr">
        <is>
          <t>Kerala</t>
        </is>
      </c>
      <c r="C119" t="inlineStr">
        <is>
          <t>Kerala_Dist_116</t>
        </is>
      </c>
      <c r="D119" t="inlineStr">
        <is>
          <t>General</t>
        </is>
      </c>
      <c r="E119" t="n">
        <v>2354</v>
      </c>
      <c r="F119" t="n">
        <v>3015</v>
      </c>
      <c r="G119" t="n">
        <v>61.45</v>
      </c>
      <c r="H119" t="n">
        <v>1</v>
      </c>
      <c r="I119" t="n">
        <v>2200</v>
      </c>
      <c r="J119" t="n">
        <v>1.37</v>
      </c>
      <c r="K119" t="n">
        <v>37</v>
      </c>
      <c r="L119" t="inlineStr">
        <is>
          <t>Under-represented</t>
        </is>
      </c>
    </row>
    <row r="120">
      <c r="A120" t="inlineStr">
        <is>
          <t>CON-117</t>
        </is>
      </c>
      <c r="B120" t="inlineStr">
        <is>
          <t>Kerala</t>
        </is>
      </c>
      <c r="C120" t="inlineStr">
        <is>
          <t>Kerala_Dist_117</t>
        </is>
      </c>
      <c r="D120" t="inlineStr">
        <is>
          <t>General</t>
        </is>
      </c>
      <c r="E120" t="n">
        <v>2239</v>
      </c>
      <c r="F120" t="n">
        <v>3878</v>
      </c>
      <c r="G120" t="n">
        <v>84.02</v>
      </c>
      <c r="H120" t="n">
        <v>1</v>
      </c>
      <c r="I120" t="n">
        <v>2200</v>
      </c>
      <c r="J120" t="n">
        <v>1.76</v>
      </c>
      <c r="K120" t="n">
        <v>76</v>
      </c>
      <c r="L120" t="inlineStr">
        <is>
          <t>Under-represented</t>
        </is>
      </c>
    </row>
    <row r="121">
      <c r="A121" t="inlineStr">
        <is>
          <t>CON-118</t>
        </is>
      </c>
      <c r="B121" t="inlineStr">
        <is>
          <t>West Bengal</t>
        </is>
      </c>
      <c r="C121" t="inlineStr">
        <is>
          <t>West_Dist_118</t>
        </is>
      </c>
      <c r="D121" t="inlineStr">
        <is>
          <t>General</t>
        </is>
      </c>
      <c r="E121" t="n">
        <v>3140</v>
      </c>
      <c r="F121" t="n">
        <v>5263</v>
      </c>
      <c r="G121" t="n">
        <v>60.36</v>
      </c>
      <c r="H121" t="n">
        <v>1</v>
      </c>
      <c r="I121" t="n">
        <v>2200</v>
      </c>
      <c r="J121" t="n">
        <v>2.39</v>
      </c>
      <c r="K121" t="n">
        <v>139</v>
      </c>
      <c r="L121" t="inlineStr">
        <is>
          <t>Under-represented</t>
        </is>
      </c>
    </row>
    <row r="122">
      <c r="A122" t="inlineStr">
        <is>
          <t>CON-119</t>
        </is>
      </c>
      <c r="B122" t="inlineStr">
        <is>
          <t>Bihar</t>
        </is>
      </c>
      <c r="C122" t="inlineStr">
        <is>
          <t>Bihar_Dist_119</t>
        </is>
      </c>
      <c r="D122" t="inlineStr">
        <is>
          <t>ST</t>
        </is>
      </c>
      <c r="E122" t="n">
        <v>3563</v>
      </c>
      <c r="F122" t="n">
        <v>5608</v>
      </c>
      <c r="G122" t="n">
        <v>63.47</v>
      </c>
      <c r="H122" t="n">
        <v>1</v>
      </c>
      <c r="I122" t="n">
        <v>2200</v>
      </c>
      <c r="J122" t="n">
        <v>2.55</v>
      </c>
      <c r="K122" t="n">
        <v>155</v>
      </c>
      <c r="L122" t="inlineStr">
        <is>
          <t>Under-represented</t>
        </is>
      </c>
    </row>
    <row r="123">
      <c r="A123" t="inlineStr">
        <is>
          <t>CON-120</t>
        </is>
      </c>
      <c r="B123" t="inlineStr">
        <is>
          <t>Bihar</t>
        </is>
      </c>
      <c r="C123" t="inlineStr">
        <is>
          <t>Bihar_Dist_120</t>
        </is>
      </c>
      <c r="D123" t="inlineStr">
        <is>
          <t>General</t>
        </is>
      </c>
      <c r="E123" t="n">
        <v>1405</v>
      </c>
      <c r="F123" t="n">
        <v>2176</v>
      </c>
      <c r="G123" t="n">
        <v>69.95</v>
      </c>
      <c r="H123" t="n">
        <v>1</v>
      </c>
      <c r="I123" t="n">
        <v>2200</v>
      </c>
      <c r="J123" t="n">
        <v>0.99</v>
      </c>
      <c r="K123" t="n">
        <v>1</v>
      </c>
      <c r="L123" t="inlineStr">
        <is>
          <t>Balanced</t>
        </is>
      </c>
    </row>
    <row r="124">
      <c r="A124" t="inlineStr">
        <is>
          <t>CON-121</t>
        </is>
      </c>
      <c r="B124" t="inlineStr">
        <is>
          <t>Bihar</t>
        </is>
      </c>
      <c r="C124" t="inlineStr">
        <is>
          <t>Bihar_Dist_121</t>
        </is>
      </c>
      <c r="D124" t="inlineStr">
        <is>
          <t>General</t>
        </is>
      </c>
      <c r="E124" t="n">
        <v>1848</v>
      </c>
      <c r="F124" t="n">
        <v>2676</v>
      </c>
      <c r="G124" t="n">
        <v>67.69</v>
      </c>
      <c r="H124" t="n">
        <v>1</v>
      </c>
      <c r="I124" t="n">
        <v>2200</v>
      </c>
      <c r="J124" t="n">
        <v>1.22</v>
      </c>
      <c r="K124" t="n">
        <v>22</v>
      </c>
      <c r="L124" t="inlineStr">
        <is>
          <t>Balanced</t>
        </is>
      </c>
    </row>
    <row r="125">
      <c r="A125" t="inlineStr">
        <is>
          <t>CON-122</t>
        </is>
      </c>
      <c r="B125" t="inlineStr">
        <is>
          <t>Bihar</t>
        </is>
      </c>
      <c r="C125" t="inlineStr">
        <is>
          <t>Bihar_Dist_122</t>
        </is>
      </c>
      <c r="D125" t="inlineStr">
        <is>
          <t>General</t>
        </is>
      </c>
      <c r="E125" t="n">
        <v>1873</v>
      </c>
      <c r="F125" t="n">
        <v>2477</v>
      </c>
      <c r="G125" t="n">
        <v>58.64</v>
      </c>
      <c r="H125" t="n">
        <v>1</v>
      </c>
      <c r="I125" t="n">
        <v>2200</v>
      </c>
      <c r="J125" t="n">
        <v>1.13</v>
      </c>
      <c r="K125" t="n">
        <v>13</v>
      </c>
      <c r="L125" t="inlineStr">
        <is>
          <t>Balanced</t>
        </is>
      </c>
    </row>
    <row r="126">
      <c r="A126" t="inlineStr">
        <is>
          <t>CON-123</t>
        </is>
      </c>
      <c r="B126" t="inlineStr">
        <is>
          <t>Gujarat</t>
        </is>
      </c>
      <c r="C126" t="inlineStr">
        <is>
          <t>Gujarat_Dist_123</t>
        </is>
      </c>
      <c r="D126" t="inlineStr">
        <is>
          <t>General</t>
        </is>
      </c>
      <c r="E126" t="n">
        <v>3241</v>
      </c>
      <c r="F126" t="n">
        <v>4097</v>
      </c>
      <c r="G126" t="n">
        <v>82.81</v>
      </c>
      <c r="H126" t="n">
        <v>1</v>
      </c>
      <c r="I126" t="n">
        <v>2200</v>
      </c>
      <c r="J126" t="n">
        <v>1.86</v>
      </c>
      <c r="K126" t="n">
        <v>86</v>
      </c>
      <c r="L126" t="inlineStr">
        <is>
          <t>Under-represented</t>
        </is>
      </c>
    </row>
    <row r="127">
      <c r="A127" t="inlineStr">
        <is>
          <t>CON-124</t>
        </is>
      </c>
      <c r="B127" t="inlineStr">
        <is>
          <t>Karnataka</t>
        </is>
      </c>
      <c r="C127" t="inlineStr">
        <is>
          <t>Karnataka_Dist_124</t>
        </is>
      </c>
      <c r="D127" t="inlineStr">
        <is>
          <t>General</t>
        </is>
      </c>
      <c r="E127" t="n">
        <v>1820</v>
      </c>
      <c r="F127" t="n">
        <v>2945</v>
      </c>
      <c r="G127" t="n">
        <v>53.28</v>
      </c>
      <c r="H127" t="n">
        <v>1</v>
      </c>
      <c r="I127" t="n">
        <v>2200</v>
      </c>
      <c r="J127" t="n">
        <v>1.34</v>
      </c>
      <c r="K127" t="n">
        <v>34</v>
      </c>
      <c r="L127" t="inlineStr">
        <is>
          <t>Under-represented</t>
        </is>
      </c>
    </row>
    <row r="128">
      <c r="A128" t="inlineStr">
        <is>
          <t>CON-125</t>
        </is>
      </c>
      <c r="B128" t="inlineStr">
        <is>
          <t>Bihar</t>
        </is>
      </c>
      <c r="C128" t="inlineStr">
        <is>
          <t>Bihar_Dist_125</t>
        </is>
      </c>
      <c r="D128" t="inlineStr">
        <is>
          <t>General</t>
        </is>
      </c>
      <c r="E128" t="n">
        <v>2759</v>
      </c>
      <c r="F128" t="n">
        <v>3520</v>
      </c>
      <c r="G128" t="n">
        <v>59.75</v>
      </c>
      <c r="H128" t="n">
        <v>1</v>
      </c>
      <c r="I128" t="n">
        <v>2200</v>
      </c>
      <c r="J128" t="n">
        <v>1.6</v>
      </c>
      <c r="K128" t="n">
        <v>60</v>
      </c>
      <c r="L128" t="inlineStr">
        <is>
          <t>Under-represented</t>
        </is>
      </c>
    </row>
    <row r="129">
      <c r="A129" t="inlineStr">
        <is>
          <t>CON-126</t>
        </is>
      </c>
      <c r="B129" t="inlineStr">
        <is>
          <t>Kerala</t>
        </is>
      </c>
      <c r="C129" t="inlineStr">
        <is>
          <t>Kerala_Dist_126</t>
        </is>
      </c>
      <c r="D129" t="inlineStr">
        <is>
          <t>General</t>
        </is>
      </c>
      <c r="E129" t="n">
        <v>3070</v>
      </c>
      <c r="F129" t="n">
        <v>4330</v>
      </c>
      <c r="G129" t="n">
        <v>65.64</v>
      </c>
      <c r="H129" t="n">
        <v>1</v>
      </c>
      <c r="I129" t="n">
        <v>2200</v>
      </c>
      <c r="J129" t="n">
        <v>1.97</v>
      </c>
      <c r="K129" t="n">
        <v>97</v>
      </c>
      <c r="L129" t="inlineStr">
        <is>
          <t>Under-represented</t>
        </is>
      </c>
    </row>
    <row r="130">
      <c r="A130" t="inlineStr">
        <is>
          <t>CON-127</t>
        </is>
      </c>
      <c r="B130" t="inlineStr">
        <is>
          <t>Kerala</t>
        </is>
      </c>
      <c r="C130" t="inlineStr">
        <is>
          <t>Kerala_Dist_127</t>
        </is>
      </c>
      <c r="D130" t="inlineStr">
        <is>
          <t>SC</t>
        </is>
      </c>
      <c r="E130" t="n">
        <v>3148</v>
      </c>
      <c r="F130" t="n">
        <v>5302</v>
      </c>
      <c r="G130" t="n">
        <v>54.24</v>
      </c>
      <c r="H130" t="n">
        <v>1</v>
      </c>
      <c r="I130" t="n">
        <v>2200</v>
      </c>
      <c r="J130" t="n">
        <v>2.41</v>
      </c>
      <c r="K130" t="n">
        <v>141</v>
      </c>
      <c r="L130" t="inlineStr">
        <is>
          <t>Under-represented</t>
        </is>
      </c>
    </row>
    <row r="131">
      <c r="A131" t="inlineStr">
        <is>
          <t>CON-128</t>
        </is>
      </c>
      <c r="B131" t="inlineStr">
        <is>
          <t>Maharashtra</t>
        </is>
      </c>
      <c r="C131" t="inlineStr">
        <is>
          <t>Maharashtra_Dist_128</t>
        </is>
      </c>
      <c r="D131" t="inlineStr">
        <is>
          <t>General</t>
        </is>
      </c>
      <c r="E131" t="n">
        <v>3220</v>
      </c>
      <c r="F131" t="n">
        <v>4452</v>
      </c>
      <c r="G131" t="n">
        <v>67.42</v>
      </c>
      <c r="H131" t="n">
        <v>1</v>
      </c>
      <c r="I131" t="n">
        <v>2200</v>
      </c>
      <c r="J131" t="n">
        <v>2.02</v>
      </c>
      <c r="K131" t="n">
        <v>102</v>
      </c>
      <c r="L131" t="inlineStr">
        <is>
          <t>Under-represented</t>
        </is>
      </c>
    </row>
    <row r="132">
      <c r="A132" t="inlineStr">
        <is>
          <t>CON-129</t>
        </is>
      </c>
      <c r="B132" t="inlineStr">
        <is>
          <t>Kerala</t>
        </is>
      </c>
      <c r="C132" t="inlineStr">
        <is>
          <t>Kerala_Dist_129</t>
        </is>
      </c>
      <c r="D132" t="inlineStr">
        <is>
          <t>General</t>
        </is>
      </c>
      <c r="E132" t="n">
        <v>2632</v>
      </c>
      <c r="F132" t="n">
        <v>4407</v>
      </c>
      <c r="G132" t="n">
        <v>77.19</v>
      </c>
      <c r="H132" t="n">
        <v>1</v>
      </c>
      <c r="I132" t="n">
        <v>2200</v>
      </c>
      <c r="J132" t="n">
        <v>2</v>
      </c>
      <c r="K132" t="n">
        <v>100</v>
      </c>
      <c r="L132" t="inlineStr">
        <is>
          <t>Under-represented</t>
        </is>
      </c>
    </row>
    <row r="133">
      <c r="A133" t="inlineStr">
        <is>
          <t>CON-130</t>
        </is>
      </c>
      <c r="B133" t="inlineStr">
        <is>
          <t>Karnataka</t>
        </is>
      </c>
      <c r="C133" t="inlineStr">
        <is>
          <t>Karnataka_Dist_130</t>
        </is>
      </c>
      <c r="D133" t="inlineStr">
        <is>
          <t>SC</t>
        </is>
      </c>
      <c r="E133" t="n">
        <v>2682</v>
      </c>
      <c r="F133" t="n">
        <v>4530</v>
      </c>
      <c r="G133" t="n">
        <v>71.38</v>
      </c>
      <c r="H133" t="n">
        <v>1</v>
      </c>
      <c r="I133" t="n">
        <v>2200</v>
      </c>
      <c r="J133" t="n">
        <v>2.06</v>
      </c>
      <c r="K133" t="n">
        <v>106</v>
      </c>
      <c r="L133" t="inlineStr">
        <is>
          <t>Under-represented</t>
        </is>
      </c>
    </row>
    <row r="134">
      <c r="A134" t="inlineStr">
        <is>
          <t>CON-131</t>
        </is>
      </c>
      <c r="B134" t="inlineStr">
        <is>
          <t>Maharashtra</t>
        </is>
      </c>
      <c r="C134" t="inlineStr">
        <is>
          <t>Maharashtra_Dist_131</t>
        </is>
      </c>
      <c r="D134" t="inlineStr">
        <is>
          <t>General</t>
        </is>
      </c>
      <c r="E134" t="n">
        <v>1264</v>
      </c>
      <c r="F134" t="n">
        <v>1733</v>
      </c>
      <c r="G134" t="n">
        <v>57.52</v>
      </c>
      <c r="H134" t="n">
        <v>1</v>
      </c>
      <c r="I134" t="n">
        <v>2200</v>
      </c>
      <c r="J134" t="n">
        <v>0.79</v>
      </c>
      <c r="K134" t="n">
        <v>21</v>
      </c>
      <c r="L134" t="inlineStr">
        <is>
          <t>Over-represented</t>
        </is>
      </c>
    </row>
    <row r="135">
      <c r="A135" t="inlineStr">
        <is>
          <t>CON-132</t>
        </is>
      </c>
      <c r="B135" t="inlineStr">
        <is>
          <t>Bihar</t>
        </is>
      </c>
      <c r="C135" t="inlineStr">
        <is>
          <t>Bihar_Dist_132</t>
        </is>
      </c>
      <c r="D135" t="inlineStr">
        <is>
          <t>General</t>
        </is>
      </c>
      <c r="E135" t="n">
        <v>3564</v>
      </c>
      <c r="F135" t="n">
        <v>4837</v>
      </c>
      <c r="G135" t="n">
        <v>55.06</v>
      </c>
      <c r="H135" t="n">
        <v>1</v>
      </c>
      <c r="I135" t="n">
        <v>2200</v>
      </c>
      <c r="J135" t="n">
        <v>2.2</v>
      </c>
      <c r="K135" t="n">
        <v>120</v>
      </c>
      <c r="L135" t="inlineStr">
        <is>
          <t>Under-represented</t>
        </is>
      </c>
    </row>
    <row r="136">
      <c r="A136" t="inlineStr">
        <is>
          <t>CON-133</t>
        </is>
      </c>
      <c r="B136" t="inlineStr">
        <is>
          <t>Andhra Pradesh</t>
        </is>
      </c>
      <c r="C136" t="inlineStr">
        <is>
          <t>Andhra_Dist_133</t>
        </is>
      </c>
      <c r="D136" t="inlineStr">
        <is>
          <t>General</t>
        </is>
      </c>
      <c r="E136" t="n">
        <v>1775</v>
      </c>
      <c r="F136" t="n">
        <v>2771</v>
      </c>
      <c r="G136" t="n">
        <v>80.37</v>
      </c>
      <c r="H136" t="n">
        <v>1</v>
      </c>
      <c r="I136" t="n">
        <v>2200</v>
      </c>
      <c r="J136" t="n">
        <v>1.26</v>
      </c>
      <c r="K136" t="n">
        <v>26</v>
      </c>
      <c r="L136" t="inlineStr">
        <is>
          <t>Under-represented</t>
        </is>
      </c>
    </row>
    <row r="137">
      <c r="A137" t="inlineStr">
        <is>
          <t>CON-134</t>
        </is>
      </c>
      <c r="B137" t="inlineStr">
        <is>
          <t>Bihar</t>
        </is>
      </c>
      <c r="C137" t="inlineStr">
        <is>
          <t>Bihar_Dist_134</t>
        </is>
      </c>
      <c r="D137" t="inlineStr">
        <is>
          <t>General</t>
        </is>
      </c>
      <c r="E137" t="n">
        <v>3726</v>
      </c>
      <c r="F137" t="n">
        <v>6335</v>
      </c>
      <c r="G137" t="n">
        <v>74.76000000000001</v>
      </c>
      <c r="H137" t="n">
        <v>1</v>
      </c>
      <c r="I137" t="n">
        <v>2200</v>
      </c>
      <c r="J137" t="n">
        <v>2.88</v>
      </c>
      <c r="K137" t="n">
        <v>188</v>
      </c>
      <c r="L137" t="inlineStr">
        <is>
          <t>Under-represented</t>
        </is>
      </c>
    </row>
    <row r="138">
      <c r="A138" t="inlineStr">
        <is>
          <t>CON-135</t>
        </is>
      </c>
      <c r="B138" t="inlineStr">
        <is>
          <t>Gujarat</t>
        </is>
      </c>
      <c r="C138" t="inlineStr">
        <is>
          <t>Gujarat_Dist_135</t>
        </is>
      </c>
      <c r="D138" t="inlineStr">
        <is>
          <t>General</t>
        </is>
      </c>
      <c r="E138" t="n">
        <v>2522</v>
      </c>
      <c r="F138" t="n">
        <v>3266</v>
      </c>
      <c r="G138" t="n">
        <v>65.66</v>
      </c>
      <c r="H138" t="n">
        <v>1</v>
      </c>
      <c r="I138" t="n">
        <v>2200</v>
      </c>
      <c r="J138" t="n">
        <v>1.48</v>
      </c>
      <c r="K138" t="n">
        <v>48</v>
      </c>
      <c r="L138" t="inlineStr">
        <is>
          <t>Under-represented</t>
        </is>
      </c>
    </row>
    <row r="139">
      <c r="A139" t="inlineStr">
        <is>
          <t>CON-136</t>
        </is>
      </c>
      <c r="B139" t="inlineStr">
        <is>
          <t>Andhra Pradesh</t>
        </is>
      </c>
      <c r="C139" t="inlineStr">
        <is>
          <t>Andhra_Dist_136</t>
        </is>
      </c>
      <c r="D139" t="inlineStr">
        <is>
          <t>General</t>
        </is>
      </c>
      <c r="E139" t="n">
        <v>2446</v>
      </c>
      <c r="F139" t="n">
        <v>4154</v>
      </c>
      <c r="G139" t="n">
        <v>57.95</v>
      </c>
      <c r="H139" t="n">
        <v>1</v>
      </c>
      <c r="I139" t="n">
        <v>2200</v>
      </c>
      <c r="J139" t="n">
        <v>1.89</v>
      </c>
      <c r="K139" t="n">
        <v>89</v>
      </c>
      <c r="L139" t="inlineStr">
        <is>
          <t>Under-represented</t>
        </is>
      </c>
    </row>
    <row r="140">
      <c r="A140" t="inlineStr">
        <is>
          <t>CON-137</t>
        </is>
      </c>
      <c r="B140" t="inlineStr">
        <is>
          <t>Bihar</t>
        </is>
      </c>
      <c r="C140" t="inlineStr">
        <is>
          <t>Bihar_Dist_137</t>
        </is>
      </c>
      <c r="D140" t="inlineStr">
        <is>
          <t>General</t>
        </is>
      </c>
      <c r="E140" t="n">
        <v>2177</v>
      </c>
      <c r="F140" t="n">
        <v>3073</v>
      </c>
      <c r="G140" t="n">
        <v>64.87</v>
      </c>
      <c r="H140" t="n">
        <v>1</v>
      </c>
      <c r="I140" t="n">
        <v>2200</v>
      </c>
      <c r="J140" t="n">
        <v>1.4</v>
      </c>
      <c r="K140" t="n">
        <v>40</v>
      </c>
      <c r="L140" t="inlineStr">
        <is>
          <t>Under-represented</t>
        </is>
      </c>
    </row>
    <row r="141">
      <c r="A141" t="inlineStr">
        <is>
          <t>CON-138</t>
        </is>
      </c>
      <c r="B141" t="inlineStr">
        <is>
          <t>Tamil Nadu</t>
        </is>
      </c>
      <c r="C141" t="inlineStr">
        <is>
          <t>Tamil_Dist_138</t>
        </is>
      </c>
      <c r="D141" t="inlineStr">
        <is>
          <t>General</t>
        </is>
      </c>
      <c r="E141" t="n">
        <v>2124</v>
      </c>
      <c r="F141" t="n">
        <v>2844</v>
      </c>
      <c r="G141" t="n">
        <v>75.31</v>
      </c>
      <c r="H141" t="n">
        <v>1</v>
      </c>
      <c r="I141" t="n">
        <v>2200</v>
      </c>
      <c r="J141" t="n">
        <v>1.29</v>
      </c>
      <c r="K141" t="n">
        <v>29</v>
      </c>
      <c r="L141" t="inlineStr">
        <is>
          <t>Under-represented</t>
        </is>
      </c>
    </row>
    <row r="142">
      <c r="A142" t="inlineStr">
        <is>
          <t>CON-139</t>
        </is>
      </c>
      <c r="B142" t="inlineStr">
        <is>
          <t>West Bengal</t>
        </is>
      </c>
      <c r="C142" t="inlineStr">
        <is>
          <t>West_Dist_139</t>
        </is>
      </c>
      <c r="D142" t="inlineStr">
        <is>
          <t>General</t>
        </is>
      </c>
      <c r="E142" t="n">
        <v>2720</v>
      </c>
      <c r="F142" t="n">
        <v>3597</v>
      </c>
      <c r="G142" t="n">
        <v>72.15000000000001</v>
      </c>
      <c r="H142" t="n">
        <v>1</v>
      </c>
      <c r="I142" t="n">
        <v>2200</v>
      </c>
      <c r="J142" t="n">
        <v>1.64</v>
      </c>
      <c r="K142" t="n">
        <v>64</v>
      </c>
      <c r="L142" t="inlineStr">
        <is>
          <t>Under-represented</t>
        </is>
      </c>
    </row>
    <row r="143">
      <c r="A143" t="inlineStr">
        <is>
          <t>CON-140</t>
        </is>
      </c>
      <c r="B143" t="inlineStr">
        <is>
          <t>Telangana</t>
        </is>
      </c>
      <c r="C143" t="inlineStr">
        <is>
          <t>Telangana_Dist_140</t>
        </is>
      </c>
      <c r="D143" t="inlineStr">
        <is>
          <t>General</t>
        </is>
      </c>
      <c r="E143" t="n">
        <v>3658</v>
      </c>
      <c r="F143" t="n">
        <v>4867</v>
      </c>
      <c r="G143" t="n">
        <v>71.58</v>
      </c>
      <c r="H143" t="n">
        <v>1</v>
      </c>
      <c r="I143" t="n">
        <v>2200</v>
      </c>
      <c r="J143" t="n">
        <v>2.21</v>
      </c>
      <c r="K143" t="n">
        <v>121</v>
      </c>
      <c r="L143" t="inlineStr">
        <is>
          <t>Under-represented</t>
        </is>
      </c>
    </row>
    <row r="144">
      <c r="A144" t="inlineStr">
        <is>
          <t>CON-141</t>
        </is>
      </c>
      <c r="B144" t="inlineStr">
        <is>
          <t>Maharashtra</t>
        </is>
      </c>
      <c r="C144" t="inlineStr">
        <is>
          <t>Maharashtra_Dist_141</t>
        </is>
      </c>
      <c r="D144" t="inlineStr">
        <is>
          <t>General</t>
        </is>
      </c>
      <c r="E144" t="n">
        <v>2642</v>
      </c>
      <c r="F144" t="n">
        <v>3945</v>
      </c>
      <c r="G144" t="n">
        <v>55.42</v>
      </c>
      <c r="H144" t="n">
        <v>1</v>
      </c>
      <c r="I144" t="n">
        <v>2200</v>
      </c>
      <c r="J144" t="n">
        <v>1.79</v>
      </c>
      <c r="K144" t="n">
        <v>79</v>
      </c>
      <c r="L144" t="inlineStr">
        <is>
          <t>Under-represented</t>
        </is>
      </c>
    </row>
    <row r="145">
      <c r="A145" t="inlineStr">
        <is>
          <t>CON-142</t>
        </is>
      </c>
      <c r="B145" t="inlineStr">
        <is>
          <t>Uttar Pradesh</t>
        </is>
      </c>
      <c r="C145" t="inlineStr">
        <is>
          <t>Uttar_Dist_142</t>
        </is>
      </c>
      <c r="D145" t="inlineStr">
        <is>
          <t>General</t>
        </is>
      </c>
      <c r="E145" t="n">
        <v>2982</v>
      </c>
      <c r="F145" t="n">
        <v>4974</v>
      </c>
      <c r="G145" t="n">
        <v>64.08</v>
      </c>
      <c r="H145" t="n">
        <v>1</v>
      </c>
      <c r="I145" t="n">
        <v>2200</v>
      </c>
      <c r="J145" t="n">
        <v>2.26</v>
      </c>
      <c r="K145" t="n">
        <v>126</v>
      </c>
      <c r="L145" t="inlineStr">
        <is>
          <t>Under-represented</t>
        </is>
      </c>
    </row>
    <row r="146">
      <c r="A146" t="inlineStr">
        <is>
          <t>CON-143</t>
        </is>
      </c>
      <c r="B146" t="inlineStr">
        <is>
          <t>Tamil Nadu</t>
        </is>
      </c>
      <c r="C146" t="inlineStr">
        <is>
          <t>Tamil_Dist_143</t>
        </is>
      </c>
      <c r="D146" t="inlineStr">
        <is>
          <t>General</t>
        </is>
      </c>
      <c r="E146" t="n">
        <v>3218</v>
      </c>
      <c r="F146" t="n">
        <v>4648</v>
      </c>
      <c r="G146" t="n">
        <v>75.56</v>
      </c>
      <c r="H146" t="n">
        <v>1</v>
      </c>
      <c r="I146" t="n">
        <v>2200</v>
      </c>
      <c r="J146" t="n">
        <v>2.11</v>
      </c>
      <c r="K146" t="n">
        <v>111</v>
      </c>
      <c r="L146" t="inlineStr">
        <is>
          <t>Under-represented</t>
        </is>
      </c>
    </row>
    <row r="147">
      <c r="A147" t="inlineStr">
        <is>
          <t>CON-144</t>
        </is>
      </c>
      <c r="B147" t="inlineStr">
        <is>
          <t>Gujarat</t>
        </is>
      </c>
      <c r="C147" t="inlineStr">
        <is>
          <t>Gujarat_Dist_144</t>
        </is>
      </c>
      <c r="D147" t="inlineStr">
        <is>
          <t>General</t>
        </is>
      </c>
      <c r="E147" t="n">
        <v>3566</v>
      </c>
      <c r="F147" t="n">
        <v>5616</v>
      </c>
      <c r="G147" t="n">
        <v>77.44</v>
      </c>
      <c r="H147" t="n">
        <v>1</v>
      </c>
      <c r="I147" t="n">
        <v>2200</v>
      </c>
      <c r="J147" t="n">
        <v>2.55</v>
      </c>
      <c r="K147" t="n">
        <v>155</v>
      </c>
      <c r="L147" t="inlineStr">
        <is>
          <t>Under-represented</t>
        </is>
      </c>
    </row>
    <row r="148">
      <c r="A148" t="inlineStr">
        <is>
          <t>CON-145</t>
        </is>
      </c>
      <c r="B148" t="inlineStr">
        <is>
          <t>Maharashtra</t>
        </is>
      </c>
      <c r="C148" t="inlineStr">
        <is>
          <t>Maharashtra_Dist_145</t>
        </is>
      </c>
      <c r="D148" t="inlineStr">
        <is>
          <t>General</t>
        </is>
      </c>
      <c r="E148" t="n">
        <v>3336</v>
      </c>
      <c r="F148" t="n">
        <v>5768</v>
      </c>
      <c r="G148" t="n">
        <v>53.82</v>
      </c>
      <c r="H148" t="n">
        <v>1</v>
      </c>
      <c r="I148" t="n">
        <v>2200</v>
      </c>
      <c r="J148" t="n">
        <v>2.62</v>
      </c>
      <c r="K148" t="n">
        <v>162</v>
      </c>
      <c r="L148" t="inlineStr">
        <is>
          <t>Under-represented</t>
        </is>
      </c>
    </row>
    <row r="149">
      <c r="A149" t="inlineStr">
        <is>
          <t>CON-146</t>
        </is>
      </c>
      <c r="B149" t="inlineStr">
        <is>
          <t>West Bengal</t>
        </is>
      </c>
      <c r="C149" t="inlineStr">
        <is>
          <t>West_Dist_146</t>
        </is>
      </c>
      <c r="D149" t="inlineStr">
        <is>
          <t>SC</t>
        </is>
      </c>
      <c r="E149" t="n">
        <v>2599</v>
      </c>
      <c r="F149" t="n">
        <v>3449</v>
      </c>
      <c r="G149" t="n">
        <v>60.2</v>
      </c>
      <c r="H149" t="n">
        <v>1</v>
      </c>
      <c r="I149" t="n">
        <v>2200</v>
      </c>
      <c r="J149" t="n">
        <v>1.57</v>
      </c>
      <c r="K149" t="n">
        <v>57</v>
      </c>
      <c r="L149" t="inlineStr">
        <is>
          <t>Under-represented</t>
        </is>
      </c>
    </row>
    <row r="150">
      <c r="A150" t="inlineStr">
        <is>
          <t>CON-147</t>
        </is>
      </c>
      <c r="B150" t="inlineStr">
        <is>
          <t>Uttar Pradesh</t>
        </is>
      </c>
      <c r="C150" t="inlineStr">
        <is>
          <t>Uttar_Dist_147</t>
        </is>
      </c>
      <c r="D150" t="inlineStr">
        <is>
          <t>ST</t>
        </is>
      </c>
      <c r="E150" t="n">
        <v>2048</v>
      </c>
      <c r="F150" t="n">
        <v>2835</v>
      </c>
      <c r="G150" t="n">
        <v>63.99</v>
      </c>
      <c r="H150" t="n">
        <v>1</v>
      </c>
      <c r="I150" t="n">
        <v>2200</v>
      </c>
      <c r="J150" t="n">
        <v>1.29</v>
      </c>
      <c r="K150" t="n">
        <v>29</v>
      </c>
      <c r="L150" t="inlineStr">
        <is>
          <t>Under-represented</t>
        </is>
      </c>
    </row>
    <row r="151">
      <c r="A151" t="inlineStr">
        <is>
          <t>CON-148</t>
        </is>
      </c>
      <c r="B151" t="inlineStr">
        <is>
          <t>Bihar</t>
        </is>
      </c>
      <c r="C151" t="inlineStr">
        <is>
          <t>Bihar_Dist_148</t>
        </is>
      </c>
      <c r="D151" t="inlineStr">
        <is>
          <t>General</t>
        </is>
      </c>
      <c r="E151" t="n">
        <v>1471</v>
      </c>
      <c r="F151" t="n">
        <v>1899</v>
      </c>
      <c r="G151" t="n">
        <v>81.54000000000001</v>
      </c>
      <c r="H151" t="n">
        <v>1</v>
      </c>
      <c r="I151" t="n">
        <v>2200</v>
      </c>
      <c r="J151" t="n">
        <v>0.86</v>
      </c>
      <c r="K151" t="n">
        <v>14</v>
      </c>
      <c r="L151" t="inlineStr">
        <is>
          <t>Balanced</t>
        </is>
      </c>
    </row>
    <row r="152">
      <c r="A152" t="inlineStr">
        <is>
          <t>CON-149</t>
        </is>
      </c>
      <c r="B152" t="inlineStr">
        <is>
          <t>Telangana</t>
        </is>
      </c>
      <c r="C152" t="inlineStr">
        <is>
          <t>Telangana_Dist_149</t>
        </is>
      </c>
      <c r="D152" t="inlineStr">
        <is>
          <t>General</t>
        </is>
      </c>
      <c r="E152" t="n">
        <v>3401</v>
      </c>
      <c r="F152" t="n">
        <v>5739</v>
      </c>
      <c r="G152" t="n">
        <v>75.47</v>
      </c>
      <c r="H152" t="n">
        <v>1</v>
      </c>
      <c r="I152" t="n">
        <v>2200</v>
      </c>
      <c r="J152" t="n">
        <v>2.61</v>
      </c>
      <c r="K152" t="n">
        <v>161</v>
      </c>
      <c r="L152" t="inlineStr">
        <is>
          <t>Under-represented</t>
        </is>
      </c>
    </row>
    <row r="153">
      <c r="A153" t="inlineStr">
        <is>
          <t>CON-150</t>
        </is>
      </c>
      <c r="B153" t="inlineStr">
        <is>
          <t>Telangana</t>
        </is>
      </c>
      <c r="C153" t="inlineStr">
        <is>
          <t>Telangana_Dist_150</t>
        </is>
      </c>
      <c r="D153" t="inlineStr">
        <is>
          <t>SC</t>
        </is>
      </c>
      <c r="E153" t="n">
        <v>3485</v>
      </c>
      <c r="F153" t="n">
        <v>5422</v>
      </c>
      <c r="G153" t="n">
        <v>70.55</v>
      </c>
      <c r="H153" t="n">
        <v>1</v>
      </c>
      <c r="I153" t="n">
        <v>2200</v>
      </c>
      <c r="J153" t="n">
        <v>2.46</v>
      </c>
      <c r="K153" t="n">
        <v>146</v>
      </c>
      <c r="L153" t="inlineStr">
        <is>
          <t>Under-represented</t>
        </is>
      </c>
    </row>
    <row r="154">
      <c r="A154" t="inlineStr">
        <is>
          <t>CON-151</t>
        </is>
      </c>
      <c r="B154" t="inlineStr">
        <is>
          <t>Tamil Nadu</t>
        </is>
      </c>
      <c r="C154" t="inlineStr">
        <is>
          <t>Tamil_Dist_151</t>
        </is>
      </c>
      <c r="D154" t="inlineStr">
        <is>
          <t>General</t>
        </is>
      </c>
      <c r="E154" t="n">
        <v>1683</v>
      </c>
      <c r="F154" t="n">
        <v>2237</v>
      </c>
      <c r="G154" t="n">
        <v>65.27</v>
      </c>
      <c r="H154" t="n">
        <v>1</v>
      </c>
      <c r="I154" t="n">
        <v>2200</v>
      </c>
      <c r="J154" t="n">
        <v>1.02</v>
      </c>
      <c r="K154" t="n">
        <v>2</v>
      </c>
      <c r="L154" t="inlineStr">
        <is>
          <t>Balanced</t>
        </is>
      </c>
    </row>
    <row r="155">
      <c r="A155" t="inlineStr">
        <is>
          <t>CON-152</t>
        </is>
      </c>
      <c r="B155" t="inlineStr">
        <is>
          <t>Telangana</t>
        </is>
      </c>
      <c r="C155" t="inlineStr">
        <is>
          <t>Telangana_Dist_152</t>
        </is>
      </c>
      <c r="D155" t="inlineStr">
        <is>
          <t>General</t>
        </is>
      </c>
      <c r="E155" t="n">
        <v>1308</v>
      </c>
      <c r="F155" t="n">
        <v>2027</v>
      </c>
      <c r="G155" t="n">
        <v>83.52</v>
      </c>
      <c r="H155" t="n">
        <v>1</v>
      </c>
      <c r="I155" t="n">
        <v>2200</v>
      </c>
      <c r="J155" t="n">
        <v>0.92</v>
      </c>
      <c r="K155" t="n">
        <v>8</v>
      </c>
      <c r="L155" t="inlineStr">
        <is>
          <t>Balanced</t>
        </is>
      </c>
    </row>
    <row r="156">
      <c r="A156" t="inlineStr">
        <is>
          <t>CON-153</t>
        </is>
      </c>
      <c r="B156" t="inlineStr">
        <is>
          <t>Uttar Pradesh</t>
        </is>
      </c>
      <c r="C156" t="inlineStr">
        <is>
          <t>Uttar_Dist_153</t>
        </is>
      </c>
      <c r="D156" t="inlineStr">
        <is>
          <t>SC</t>
        </is>
      </c>
      <c r="E156" t="n">
        <v>2175</v>
      </c>
      <c r="F156" t="n">
        <v>3379</v>
      </c>
      <c r="G156" t="n">
        <v>60.3</v>
      </c>
      <c r="H156" t="n">
        <v>1</v>
      </c>
      <c r="I156" t="n">
        <v>2200</v>
      </c>
      <c r="J156" t="n">
        <v>1.54</v>
      </c>
      <c r="K156" t="n">
        <v>54</v>
      </c>
      <c r="L156" t="inlineStr">
        <is>
          <t>Under-represented</t>
        </is>
      </c>
    </row>
    <row r="157">
      <c r="A157" t="inlineStr">
        <is>
          <t>CON-154</t>
        </is>
      </c>
      <c r="B157" t="inlineStr">
        <is>
          <t>Uttar Pradesh</t>
        </is>
      </c>
      <c r="C157" t="inlineStr">
        <is>
          <t>Uttar_Dist_154</t>
        </is>
      </c>
      <c r="D157" t="inlineStr">
        <is>
          <t>General</t>
        </is>
      </c>
      <c r="E157" t="n">
        <v>2792</v>
      </c>
      <c r="F157" t="n">
        <v>3958</v>
      </c>
      <c r="G157" t="n">
        <v>83.03</v>
      </c>
      <c r="H157" t="n">
        <v>1</v>
      </c>
      <c r="I157" t="n">
        <v>2200</v>
      </c>
      <c r="J157" t="n">
        <v>1.8</v>
      </c>
      <c r="K157" t="n">
        <v>80</v>
      </c>
      <c r="L157" t="inlineStr">
        <is>
          <t>Under-represented</t>
        </is>
      </c>
    </row>
    <row r="158">
      <c r="A158" t="inlineStr">
        <is>
          <t>CON-155</t>
        </is>
      </c>
      <c r="B158" t="inlineStr">
        <is>
          <t>Gujarat</t>
        </is>
      </c>
      <c r="C158" t="inlineStr">
        <is>
          <t>Gujarat_Dist_155</t>
        </is>
      </c>
      <c r="D158" t="inlineStr">
        <is>
          <t>General</t>
        </is>
      </c>
      <c r="E158" t="n">
        <v>2191</v>
      </c>
      <c r="F158" t="n">
        <v>3625</v>
      </c>
      <c r="G158" t="n">
        <v>66.47</v>
      </c>
      <c r="H158" t="n">
        <v>1</v>
      </c>
      <c r="I158" t="n">
        <v>2200</v>
      </c>
      <c r="J158" t="n">
        <v>1.65</v>
      </c>
      <c r="K158" t="n">
        <v>65</v>
      </c>
      <c r="L158" t="inlineStr">
        <is>
          <t>Under-represented</t>
        </is>
      </c>
    </row>
    <row r="159">
      <c r="A159" t="inlineStr">
        <is>
          <t>CON-156</t>
        </is>
      </c>
      <c r="B159" t="inlineStr">
        <is>
          <t>West Bengal</t>
        </is>
      </c>
      <c r="C159" t="inlineStr">
        <is>
          <t>West_Dist_156</t>
        </is>
      </c>
      <c r="D159" t="inlineStr">
        <is>
          <t>General</t>
        </is>
      </c>
      <c r="E159" t="n">
        <v>1728</v>
      </c>
      <c r="F159" t="n">
        <v>2210</v>
      </c>
      <c r="G159" t="n">
        <v>57.49</v>
      </c>
      <c r="H159" t="n">
        <v>1</v>
      </c>
      <c r="I159" t="n">
        <v>2200</v>
      </c>
      <c r="J159" t="n">
        <v>1</v>
      </c>
      <c r="K159" t="n">
        <v>0</v>
      </c>
      <c r="L159" t="inlineStr">
        <is>
          <t>Balanced</t>
        </is>
      </c>
    </row>
    <row r="160">
      <c r="A160" t="inlineStr">
        <is>
          <t>CON-157</t>
        </is>
      </c>
      <c r="B160" t="inlineStr">
        <is>
          <t>Telangana</t>
        </is>
      </c>
      <c r="C160" t="inlineStr">
        <is>
          <t>Telangana_Dist_157</t>
        </is>
      </c>
      <c r="D160" t="inlineStr">
        <is>
          <t>ST</t>
        </is>
      </c>
      <c r="E160" t="n">
        <v>2388</v>
      </c>
      <c r="F160" t="n">
        <v>3531</v>
      </c>
      <c r="G160" t="n">
        <v>53.35</v>
      </c>
      <c r="H160" t="n">
        <v>1</v>
      </c>
      <c r="I160" t="n">
        <v>2200</v>
      </c>
      <c r="J160" t="n">
        <v>1.6</v>
      </c>
      <c r="K160" t="n">
        <v>60</v>
      </c>
      <c r="L160" t="inlineStr">
        <is>
          <t>Under-represented</t>
        </is>
      </c>
    </row>
    <row r="161">
      <c r="A161" t="inlineStr">
        <is>
          <t>CON-158</t>
        </is>
      </c>
      <c r="B161" t="inlineStr">
        <is>
          <t>Uttar Pradesh</t>
        </is>
      </c>
      <c r="C161" t="inlineStr">
        <is>
          <t>Uttar_Dist_158</t>
        </is>
      </c>
      <c r="D161" t="inlineStr">
        <is>
          <t>General</t>
        </is>
      </c>
      <c r="E161" t="n">
        <v>1302</v>
      </c>
      <c r="F161" t="n">
        <v>2207</v>
      </c>
      <c r="G161" t="n">
        <v>61.33</v>
      </c>
      <c r="H161" t="n">
        <v>1</v>
      </c>
      <c r="I161" t="n">
        <v>2200</v>
      </c>
      <c r="J161" t="n">
        <v>1</v>
      </c>
      <c r="K161" t="n">
        <v>0</v>
      </c>
      <c r="L161" t="inlineStr">
        <is>
          <t>Balanced</t>
        </is>
      </c>
    </row>
    <row r="162">
      <c r="A162" t="inlineStr">
        <is>
          <t>CON-159</t>
        </is>
      </c>
      <c r="B162" t="inlineStr">
        <is>
          <t>Uttar Pradesh</t>
        </is>
      </c>
      <c r="C162" t="inlineStr">
        <is>
          <t>Uttar_Dist_159</t>
        </is>
      </c>
      <c r="D162" t="inlineStr">
        <is>
          <t>General</t>
        </is>
      </c>
      <c r="E162" t="n">
        <v>3515</v>
      </c>
      <c r="F162" t="n">
        <v>5437</v>
      </c>
      <c r="G162" t="n">
        <v>66.55</v>
      </c>
      <c r="H162" t="n">
        <v>1</v>
      </c>
      <c r="I162" t="n">
        <v>2200</v>
      </c>
      <c r="J162" t="n">
        <v>2.47</v>
      </c>
      <c r="K162" t="n">
        <v>147</v>
      </c>
      <c r="L162" t="inlineStr">
        <is>
          <t>Under-represented</t>
        </is>
      </c>
    </row>
    <row r="163">
      <c r="A163" t="inlineStr">
        <is>
          <t>CON-160</t>
        </is>
      </c>
      <c r="B163" t="inlineStr">
        <is>
          <t>Uttar Pradesh</t>
        </is>
      </c>
      <c r="C163" t="inlineStr">
        <is>
          <t>Uttar_Dist_160</t>
        </is>
      </c>
      <c r="D163" t="inlineStr">
        <is>
          <t>General</t>
        </is>
      </c>
      <c r="E163" t="n">
        <v>1365</v>
      </c>
      <c r="F163" t="n">
        <v>1911</v>
      </c>
      <c r="G163" t="n">
        <v>71.33</v>
      </c>
      <c r="H163" t="n">
        <v>1</v>
      </c>
      <c r="I163" t="n">
        <v>2200</v>
      </c>
      <c r="J163" t="n">
        <v>0.87</v>
      </c>
      <c r="K163" t="n">
        <v>13</v>
      </c>
      <c r="L163" t="inlineStr">
        <is>
          <t>Balanced</t>
        </is>
      </c>
    </row>
    <row r="164">
      <c r="A164" t="inlineStr">
        <is>
          <t>CON-161</t>
        </is>
      </c>
      <c r="B164" t="inlineStr">
        <is>
          <t>Gujarat</t>
        </is>
      </c>
      <c r="C164" t="inlineStr">
        <is>
          <t>Gujarat_Dist_161</t>
        </is>
      </c>
      <c r="D164" t="inlineStr">
        <is>
          <t>SC</t>
        </is>
      </c>
      <c r="E164" t="n">
        <v>1648</v>
      </c>
      <c r="F164" t="n">
        <v>2320</v>
      </c>
      <c r="G164" t="n">
        <v>79.43000000000001</v>
      </c>
      <c r="H164" t="n">
        <v>1</v>
      </c>
      <c r="I164" t="n">
        <v>2200</v>
      </c>
      <c r="J164" t="n">
        <v>1.05</v>
      </c>
      <c r="K164" t="n">
        <v>5</v>
      </c>
      <c r="L164" t="inlineStr">
        <is>
          <t>Balanced</t>
        </is>
      </c>
    </row>
    <row r="165">
      <c r="A165" t="inlineStr">
        <is>
          <t>CON-162</t>
        </is>
      </c>
      <c r="B165" t="inlineStr">
        <is>
          <t>Tamil Nadu</t>
        </is>
      </c>
      <c r="C165" t="inlineStr">
        <is>
          <t>Tamil_Dist_162</t>
        </is>
      </c>
      <c r="D165" t="inlineStr">
        <is>
          <t>SC</t>
        </is>
      </c>
      <c r="E165" t="n">
        <v>1986</v>
      </c>
      <c r="F165" t="n">
        <v>2616</v>
      </c>
      <c r="G165" t="n">
        <v>64.92</v>
      </c>
      <c r="H165" t="n">
        <v>1</v>
      </c>
      <c r="I165" t="n">
        <v>2200</v>
      </c>
      <c r="J165" t="n">
        <v>1.19</v>
      </c>
      <c r="K165" t="n">
        <v>19</v>
      </c>
      <c r="L165" t="inlineStr">
        <is>
          <t>Balanced</t>
        </is>
      </c>
    </row>
    <row r="166">
      <c r="A166" t="inlineStr">
        <is>
          <t>CON-163</t>
        </is>
      </c>
      <c r="B166" t="inlineStr">
        <is>
          <t>Andhra Pradesh</t>
        </is>
      </c>
      <c r="C166" t="inlineStr">
        <is>
          <t>Andhra_Dist_163</t>
        </is>
      </c>
      <c r="D166" t="inlineStr">
        <is>
          <t>ST</t>
        </is>
      </c>
      <c r="E166" t="n">
        <v>3030</v>
      </c>
      <c r="F166" t="n">
        <v>4288</v>
      </c>
      <c r="G166" t="n">
        <v>78</v>
      </c>
      <c r="H166" t="n">
        <v>1</v>
      </c>
      <c r="I166" t="n">
        <v>2200</v>
      </c>
      <c r="J166" t="n">
        <v>1.95</v>
      </c>
      <c r="K166" t="n">
        <v>95</v>
      </c>
      <c r="L166" t="inlineStr">
        <is>
          <t>Under-represented</t>
        </is>
      </c>
    </row>
    <row r="167">
      <c r="A167" t="inlineStr">
        <is>
          <t>CON-164</t>
        </is>
      </c>
      <c r="B167" t="inlineStr">
        <is>
          <t>Karnataka</t>
        </is>
      </c>
      <c r="C167" t="inlineStr">
        <is>
          <t>Karnataka_Dist_164</t>
        </is>
      </c>
      <c r="D167" t="inlineStr">
        <is>
          <t>General</t>
        </is>
      </c>
      <c r="E167" t="n">
        <v>2058</v>
      </c>
      <c r="F167" t="n">
        <v>3102</v>
      </c>
      <c r="G167" t="n">
        <v>61.33</v>
      </c>
      <c r="H167" t="n">
        <v>1</v>
      </c>
      <c r="I167" t="n">
        <v>2200</v>
      </c>
      <c r="J167" t="n">
        <v>1.41</v>
      </c>
      <c r="K167" t="n">
        <v>41</v>
      </c>
      <c r="L167" t="inlineStr">
        <is>
          <t>Under-represented</t>
        </is>
      </c>
    </row>
    <row r="168">
      <c r="A168" t="inlineStr">
        <is>
          <t>CON-165</t>
        </is>
      </c>
      <c r="B168" t="inlineStr">
        <is>
          <t>Andhra Pradesh</t>
        </is>
      </c>
      <c r="C168" t="inlineStr">
        <is>
          <t>Andhra_Dist_165</t>
        </is>
      </c>
      <c r="D168" t="inlineStr">
        <is>
          <t>General</t>
        </is>
      </c>
      <c r="E168" t="n">
        <v>3453</v>
      </c>
      <c r="F168" t="n">
        <v>4937</v>
      </c>
      <c r="G168" t="n">
        <v>65.66</v>
      </c>
      <c r="H168" t="n">
        <v>1</v>
      </c>
      <c r="I168" t="n">
        <v>2200</v>
      </c>
      <c r="J168" t="n">
        <v>2.24</v>
      </c>
      <c r="K168" t="n">
        <v>124</v>
      </c>
      <c r="L168" t="inlineStr">
        <is>
          <t>Under-represented</t>
        </is>
      </c>
    </row>
    <row r="169">
      <c r="A169" t="inlineStr">
        <is>
          <t>CON-166</t>
        </is>
      </c>
      <c r="B169" t="inlineStr">
        <is>
          <t>Kerala</t>
        </is>
      </c>
      <c r="C169" t="inlineStr">
        <is>
          <t>Kerala_Dist_166</t>
        </is>
      </c>
      <c r="D169" t="inlineStr">
        <is>
          <t>General</t>
        </is>
      </c>
      <c r="E169" t="n">
        <v>2863</v>
      </c>
      <c r="F169" t="n">
        <v>4320</v>
      </c>
      <c r="G169" t="n">
        <v>78.98999999999999</v>
      </c>
      <c r="H169" t="n">
        <v>1</v>
      </c>
      <c r="I169" t="n">
        <v>2200</v>
      </c>
      <c r="J169" t="n">
        <v>1.96</v>
      </c>
      <c r="K169" t="n">
        <v>96</v>
      </c>
      <c r="L169" t="inlineStr">
        <is>
          <t>Under-represented</t>
        </is>
      </c>
    </row>
    <row r="170">
      <c r="A170" t="inlineStr">
        <is>
          <t>CON-167</t>
        </is>
      </c>
      <c r="B170" t="inlineStr">
        <is>
          <t>Telangana</t>
        </is>
      </c>
      <c r="C170" t="inlineStr">
        <is>
          <t>Telangana_Dist_167</t>
        </is>
      </c>
      <c r="D170" t="inlineStr">
        <is>
          <t>General</t>
        </is>
      </c>
      <c r="E170" t="n">
        <v>3245</v>
      </c>
      <c r="F170" t="n">
        <v>4483</v>
      </c>
      <c r="G170" t="n">
        <v>83.76000000000001</v>
      </c>
      <c r="H170" t="n">
        <v>1</v>
      </c>
      <c r="I170" t="n">
        <v>2200</v>
      </c>
      <c r="J170" t="n">
        <v>2.04</v>
      </c>
      <c r="K170" t="n">
        <v>104</v>
      </c>
      <c r="L170" t="inlineStr">
        <is>
          <t>Under-represented</t>
        </is>
      </c>
    </row>
    <row r="171">
      <c r="A171" t="inlineStr">
        <is>
          <t>CON-168</t>
        </is>
      </c>
      <c r="B171" t="inlineStr">
        <is>
          <t>Karnataka</t>
        </is>
      </c>
      <c r="C171" t="inlineStr">
        <is>
          <t>Karnataka_Dist_168</t>
        </is>
      </c>
      <c r="D171" t="inlineStr">
        <is>
          <t>SC</t>
        </is>
      </c>
      <c r="E171" t="n">
        <v>1419</v>
      </c>
      <c r="F171" t="n">
        <v>2000</v>
      </c>
      <c r="G171" t="n">
        <v>77.28</v>
      </c>
      <c r="H171" t="n">
        <v>1</v>
      </c>
      <c r="I171" t="n">
        <v>2200</v>
      </c>
      <c r="J171" t="n">
        <v>0.91</v>
      </c>
      <c r="K171" t="n">
        <v>9</v>
      </c>
      <c r="L171" t="inlineStr">
        <is>
          <t>Balanced</t>
        </is>
      </c>
    </row>
    <row r="172">
      <c r="A172" t="inlineStr">
        <is>
          <t>CON-169</t>
        </is>
      </c>
      <c r="B172" t="inlineStr">
        <is>
          <t>Maharashtra</t>
        </is>
      </c>
      <c r="C172" t="inlineStr">
        <is>
          <t>Maharashtra_Dist_169</t>
        </is>
      </c>
      <c r="D172" t="inlineStr">
        <is>
          <t>ST</t>
        </is>
      </c>
      <c r="E172" t="n">
        <v>1343</v>
      </c>
      <c r="F172" t="n">
        <v>2285</v>
      </c>
      <c r="G172" t="n">
        <v>77.90000000000001</v>
      </c>
      <c r="H172" t="n">
        <v>1</v>
      </c>
      <c r="I172" t="n">
        <v>2200</v>
      </c>
      <c r="J172" t="n">
        <v>1.04</v>
      </c>
      <c r="K172" t="n">
        <v>4</v>
      </c>
      <c r="L172" t="inlineStr">
        <is>
          <t>Balanced</t>
        </is>
      </c>
    </row>
    <row r="173">
      <c r="A173" t="inlineStr">
        <is>
          <t>CON-170</t>
        </is>
      </c>
      <c r="B173" t="inlineStr">
        <is>
          <t>Andhra Pradesh</t>
        </is>
      </c>
      <c r="C173" t="inlineStr">
        <is>
          <t>Andhra_Dist_170</t>
        </is>
      </c>
      <c r="D173" t="inlineStr">
        <is>
          <t>General</t>
        </is>
      </c>
      <c r="E173" t="n">
        <v>3753</v>
      </c>
      <c r="F173" t="n">
        <v>5956</v>
      </c>
      <c r="G173" t="n">
        <v>71.45999999999999</v>
      </c>
      <c r="H173" t="n">
        <v>1</v>
      </c>
      <c r="I173" t="n">
        <v>2200</v>
      </c>
      <c r="J173" t="n">
        <v>2.71</v>
      </c>
      <c r="K173" t="n">
        <v>171</v>
      </c>
      <c r="L173" t="inlineStr">
        <is>
          <t>Under-represented</t>
        </is>
      </c>
    </row>
    <row r="174">
      <c r="A174" t="inlineStr">
        <is>
          <t>CON-171</t>
        </is>
      </c>
      <c r="B174" t="inlineStr">
        <is>
          <t>Maharashtra</t>
        </is>
      </c>
      <c r="C174" t="inlineStr">
        <is>
          <t>Maharashtra_Dist_171</t>
        </is>
      </c>
      <c r="D174" t="inlineStr">
        <is>
          <t>General</t>
        </is>
      </c>
      <c r="E174" t="n">
        <v>3087</v>
      </c>
      <c r="F174" t="n">
        <v>5024</v>
      </c>
      <c r="G174" t="n">
        <v>63.28</v>
      </c>
      <c r="H174" t="n">
        <v>1</v>
      </c>
      <c r="I174" t="n">
        <v>2200</v>
      </c>
      <c r="J174" t="n">
        <v>2.28</v>
      </c>
      <c r="K174" t="n">
        <v>128</v>
      </c>
      <c r="L174" t="inlineStr">
        <is>
          <t>Under-represented</t>
        </is>
      </c>
    </row>
    <row r="175">
      <c r="A175" t="inlineStr">
        <is>
          <t>CON-172</t>
        </is>
      </c>
      <c r="B175" t="inlineStr">
        <is>
          <t>Bihar</t>
        </is>
      </c>
      <c r="C175" t="inlineStr">
        <is>
          <t>Bihar_Dist_172</t>
        </is>
      </c>
      <c r="D175" t="inlineStr">
        <is>
          <t>General</t>
        </is>
      </c>
      <c r="E175" t="n">
        <v>2251</v>
      </c>
      <c r="F175" t="n">
        <v>2918</v>
      </c>
      <c r="G175" t="n">
        <v>84.18000000000001</v>
      </c>
      <c r="H175" t="n">
        <v>1</v>
      </c>
      <c r="I175" t="n">
        <v>2200</v>
      </c>
      <c r="J175" t="n">
        <v>1.33</v>
      </c>
      <c r="K175" t="n">
        <v>33</v>
      </c>
      <c r="L175" t="inlineStr">
        <is>
          <t>Under-represented</t>
        </is>
      </c>
    </row>
    <row r="176">
      <c r="A176" t="inlineStr">
        <is>
          <t>CON-173</t>
        </is>
      </c>
      <c r="B176" t="inlineStr">
        <is>
          <t>Maharashtra</t>
        </is>
      </c>
      <c r="C176" t="inlineStr">
        <is>
          <t>Maharashtra_Dist_173</t>
        </is>
      </c>
      <c r="D176" t="inlineStr">
        <is>
          <t>General</t>
        </is>
      </c>
      <c r="E176" t="n">
        <v>2678</v>
      </c>
      <c r="F176" t="n">
        <v>3393</v>
      </c>
      <c r="G176" t="n">
        <v>78.84</v>
      </c>
      <c r="H176" t="n">
        <v>1</v>
      </c>
      <c r="I176" t="n">
        <v>2200</v>
      </c>
      <c r="J176" t="n">
        <v>1.54</v>
      </c>
      <c r="K176" t="n">
        <v>54</v>
      </c>
      <c r="L176" t="inlineStr">
        <is>
          <t>Under-represented</t>
        </is>
      </c>
    </row>
    <row r="177">
      <c r="A177" t="inlineStr">
        <is>
          <t>CON-174</t>
        </is>
      </c>
      <c r="B177" t="inlineStr">
        <is>
          <t>Karnataka</t>
        </is>
      </c>
      <c r="C177" t="inlineStr">
        <is>
          <t>Karnataka_Dist_174</t>
        </is>
      </c>
      <c r="D177" t="inlineStr">
        <is>
          <t>General</t>
        </is>
      </c>
      <c r="E177" t="n">
        <v>1835</v>
      </c>
      <c r="F177" t="n">
        <v>2444</v>
      </c>
      <c r="G177" t="n">
        <v>68.91</v>
      </c>
      <c r="H177" t="n">
        <v>1</v>
      </c>
      <c r="I177" t="n">
        <v>2200</v>
      </c>
      <c r="J177" t="n">
        <v>1.11</v>
      </c>
      <c r="K177" t="n">
        <v>11</v>
      </c>
      <c r="L177" t="inlineStr">
        <is>
          <t>Balanced</t>
        </is>
      </c>
    </row>
    <row r="178">
      <c r="A178" t="inlineStr">
        <is>
          <t>CON-175</t>
        </is>
      </c>
      <c r="B178" t="inlineStr">
        <is>
          <t>Telangana</t>
        </is>
      </c>
      <c r="C178" t="inlineStr">
        <is>
          <t>Telangana_Dist_175</t>
        </is>
      </c>
      <c r="D178" t="inlineStr">
        <is>
          <t>General</t>
        </is>
      </c>
      <c r="E178" t="n">
        <v>1751</v>
      </c>
      <c r="F178" t="n">
        <v>2328</v>
      </c>
      <c r="G178" t="n">
        <v>77.45</v>
      </c>
      <c r="H178" t="n">
        <v>1</v>
      </c>
      <c r="I178" t="n">
        <v>2200</v>
      </c>
      <c r="J178" t="n">
        <v>1.06</v>
      </c>
      <c r="K178" t="n">
        <v>6</v>
      </c>
      <c r="L178" t="inlineStr">
        <is>
          <t>Balanced</t>
        </is>
      </c>
    </row>
    <row r="179">
      <c r="A179" t="inlineStr">
        <is>
          <t>CON-176</t>
        </is>
      </c>
      <c r="B179" t="inlineStr">
        <is>
          <t>Bihar</t>
        </is>
      </c>
      <c r="C179" t="inlineStr">
        <is>
          <t>Bihar_Dist_176</t>
        </is>
      </c>
      <c r="D179" t="inlineStr">
        <is>
          <t>General</t>
        </is>
      </c>
      <c r="E179" t="n">
        <v>2574</v>
      </c>
      <c r="F179" t="n">
        <v>4373</v>
      </c>
      <c r="G179" t="n">
        <v>56.5</v>
      </c>
      <c r="H179" t="n">
        <v>1</v>
      </c>
      <c r="I179" t="n">
        <v>2200</v>
      </c>
      <c r="J179" t="n">
        <v>1.99</v>
      </c>
      <c r="K179" t="n">
        <v>99</v>
      </c>
      <c r="L179" t="inlineStr">
        <is>
          <t>Under-represented</t>
        </is>
      </c>
    </row>
    <row r="180">
      <c r="A180" t="inlineStr">
        <is>
          <t>CON-177</t>
        </is>
      </c>
      <c r="B180" t="inlineStr">
        <is>
          <t>Kerala</t>
        </is>
      </c>
      <c r="C180" t="inlineStr">
        <is>
          <t>Kerala_Dist_177</t>
        </is>
      </c>
      <c r="D180" t="inlineStr">
        <is>
          <t>General</t>
        </is>
      </c>
      <c r="E180" t="n">
        <v>3515</v>
      </c>
      <c r="F180" t="n">
        <v>5612</v>
      </c>
      <c r="G180" t="n">
        <v>69.84999999999999</v>
      </c>
      <c r="H180" t="n">
        <v>1</v>
      </c>
      <c r="I180" t="n">
        <v>2200</v>
      </c>
      <c r="J180" t="n">
        <v>2.55</v>
      </c>
      <c r="K180" t="n">
        <v>155</v>
      </c>
      <c r="L180" t="inlineStr">
        <is>
          <t>Under-represented</t>
        </is>
      </c>
    </row>
    <row r="181">
      <c r="A181" t="inlineStr">
        <is>
          <t>CON-178</t>
        </is>
      </c>
      <c r="B181" t="inlineStr">
        <is>
          <t>Gujarat</t>
        </is>
      </c>
      <c r="C181" t="inlineStr">
        <is>
          <t>Gujarat_Dist_178</t>
        </is>
      </c>
      <c r="D181" t="inlineStr">
        <is>
          <t>SC</t>
        </is>
      </c>
      <c r="E181" t="n">
        <v>1328</v>
      </c>
      <c r="F181" t="n">
        <v>2279</v>
      </c>
      <c r="G181" t="n">
        <v>69.02</v>
      </c>
      <c r="H181" t="n">
        <v>1</v>
      </c>
      <c r="I181" t="n">
        <v>2200</v>
      </c>
      <c r="J181" t="n">
        <v>1.04</v>
      </c>
      <c r="K181" t="n">
        <v>4</v>
      </c>
      <c r="L181" t="inlineStr">
        <is>
          <t>Balanced</t>
        </is>
      </c>
    </row>
    <row r="182">
      <c r="A182" t="inlineStr">
        <is>
          <t>CON-179</t>
        </is>
      </c>
      <c r="B182" t="inlineStr">
        <is>
          <t>Uttar Pradesh</t>
        </is>
      </c>
      <c r="C182" t="inlineStr">
        <is>
          <t>Uttar_Dist_179</t>
        </is>
      </c>
      <c r="D182" t="inlineStr">
        <is>
          <t>General</t>
        </is>
      </c>
      <c r="E182" t="n">
        <v>1861</v>
      </c>
      <c r="F182" t="n">
        <v>2663</v>
      </c>
      <c r="G182" t="n">
        <v>78.42</v>
      </c>
      <c r="H182" t="n">
        <v>1</v>
      </c>
      <c r="I182" t="n">
        <v>2200</v>
      </c>
      <c r="J182" t="n">
        <v>1.21</v>
      </c>
      <c r="K182" t="n">
        <v>21</v>
      </c>
      <c r="L182" t="inlineStr">
        <is>
          <t>Balanced</t>
        </is>
      </c>
    </row>
    <row r="183">
      <c r="A183" t="inlineStr">
        <is>
          <t>CON-180</t>
        </is>
      </c>
      <c r="B183" t="inlineStr">
        <is>
          <t>West Bengal</t>
        </is>
      </c>
      <c r="C183" t="inlineStr">
        <is>
          <t>West_Dist_180</t>
        </is>
      </c>
      <c r="D183" t="inlineStr">
        <is>
          <t>General</t>
        </is>
      </c>
      <c r="E183" t="n">
        <v>1759</v>
      </c>
      <c r="F183" t="n">
        <v>2460</v>
      </c>
      <c r="G183" t="n">
        <v>64.64</v>
      </c>
      <c r="H183" t="n">
        <v>1</v>
      </c>
      <c r="I183" t="n">
        <v>2200</v>
      </c>
      <c r="J183" t="n">
        <v>1.12</v>
      </c>
      <c r="K183" t="n">
        <v>12</v>
      </c>
      <c r="L183" t="inlineStr">
        <is>
          <t>Balanced</t>
        </is>
      </c>
    </row>
    <row r="184">
      <c r="A184" t="inlineStr">
        <is>
          <t>CON-181</t>
        </is>
      </c>
      <c r="B184" t="inlineStr">
        <is>
          <t>Uttar Pradesh</t>
        </is>
      </c>
      <c r="C184" t="inlineStr">
        <is>
          <t>Uttar_Dist_181</t>
        </is>
      </c>
      <c r="D184" t="inlineStr">
        <is>
          <t>General</t>
        </is>
      </c>
      <c r="E184" t="n">
        <v>1644</v>
      </c>
      <c r="F184" t="n">
        <v>2073</v>
      </c>
      <c r="G184" t="n">
        <v>53.78</v>
      </c>
      <c r="H184" t="n">
        <v>1</v>
      </c>
      <c r="I184" t="n">
        <v>2200</v>
      </c>
      <c r="J184" t="n">
        <v>0.9399999999999999</v>
      </c>
      <c r="K184" t="n">
        <v>6</v>
      </c>
      <c r="L184" t="inlineStr">
        <is>
          <t>Balanced</t>
        </is>
      </c>
    </row>
    <row r="185">
      <c r="A185" t="inlineStr">
        <is>
          <t>CON-182</t>
        </is>
      </c>
      <c r="B185" t="inlineStr">
        <is>
          <t>Maharashtra</t>
        </is>
      </c>
      <c r="C185" t="inlineStr">
        <is>
          <t>Maharashtra_Dist_182</t>
        </is>
      </c>
      <c r="D185" t="inlineStr">
        <is>
          <t>SC</t>
        </is>
      </c>
      <c r="E185" t="n">
        <v>3497</v>
      </c>
      <c r="F185" t="n">
        <v>6119</v>
      </c>
      <c r="G185" t="n">
        <v>80.87</v>
      </c>
      <c r="H185" t="n">
        <v>1</v>
      </c>
      <c r="I185" t="n">
        <v>2200</v>
      </c>
      <c r="J185" t="n">
        <v>2.78</v>
      </c>
      <c r="K185" t="n">
        <v>178</v>
      </c>
      <c r="L185" t="inlineStr">
        <is>
          <t>Under-represented</t>
        </is>
      </c>
    </row>
    <row r="186">
      <c r="A186" t="inlineStr">
        <is>
          <t>CON-183</t>
        </is>
      </c>
      <c r="B186" t="inlineStr">
        <is>
          <t>Kerala</t>
        </is>
      </c>
      <c r="C186" t="inlineStr">
        <is>
          <t>Kerala_Dist_183</t>
        </is>
      </c>
      <c r="D186" t="inlineStr">
        <is>
          <t>General</t>
        </is>
      </c>
      <c r="E186" t="n">
        <v>2387</v>
      </c>
      <c r="F186" t="n">
        <v>3320</v>
      </c>
      <c r="G186" t="n">
        <v>73.48</v>
      </c>
      <c r="H186" t="n">
        <v>1</v>
      </c>
      <c r="I186" t="n">
        <v>2200</v>
      </c>
      <c r="J186" t="n">
        <v>1.51</v>
      </c>
      <c r="K186" t="n">
        <v>51</v>
      </c>
      <c r="L186" t="inlineStr">
        <is>
          <t>Under-represented</t>
        </is>
      </c>
    </row>
    <row r="187">
      <c r="A187" t="inlineStr">
        <is>
          <t>CON-184</t>
        </is>
      </c>
      <c r="B187" t="inlineStr">
        <is>
          <t>West Bengal</t>
        </is>
      </c>
      <c r="C187" t="inlineStr">
        <is>
          <t>West_Dist_184</t>
        </is>
      </c>
      <c r="D187" t="inlineStr">
        <is>
          <t>General</t>
        </is>
      </c>
      <c r="E187" t="n">
        <v>2682</v>
      </c>
      <c r="F187" t="n">
        <v>4629</v>
      </c>
      <c r="G187" t="n">
        <v>76.58</v>
      </c>
      <c r="H187" t="n">
        <v>1</v>
      </c>
      <c r="I187" t="n">
        <v>2200</v>
      </c>
      <c r="J187" t="n">
        <v>2.1</v>
      </c>
      <c r="K187" t="n">
        <v>110</v>
      </c>
      <c r="L187" t="inlineStr">
        <is>
          <t>Under-represented</t>
        </is>
      </c>
    </row>
    <row r="188">
      <c r="A188" t="inlineStr">
        <is>
          <t>CON-185</t>
        </is>
      </c>
      <c r="B188" t="inlineStr">
        <is>
          <t>Andhra Pradesh</t>
        </is>
      </c>
      <c r="C188" t="inlineStr">
        <is>
          <t>Andhra_Dist_185</t>
        </is>
      </c>
      <c r="D188" t="inlineStr">
        <is>
          <t>General</t>
        </is>
      </c>
      <c r="E188" t="n">
        <v>3088</v>
      </c>
      <c r="F188" t="n">
        <v>5211</v>
      </c>
      <c r="G188" t="n">
        <v>78.84</v>
      </c>
      <c r="H188" t="n">
        <v>1</v>
      </c>
      <c r="I188" t="n">
        <v>2200</v>
      </c>
      <c r="J188" t="n">
        <v>2.37</v>
      </c>
      <c r="K188" t="n">
        <v>137</v>
      </c>
      <c r="L188" t="inlineStr">
        <is>
          <t>Under-represented</t>
        </is>
      </c>
    </row>
    <row r="189">
      <c r="A189" t="inlineStr">
        <is>
          <t>CON-186</t>
        </is>
      </c>
      <c r="B189" t="inlineStr">
        <is>
          <t>West Bengal</t>
        </is>
      </c>
      <c r="C189" t="inlineStr">
        <is>
          <t>West_Dist_186</t>
        </is>
      </c>
      <c r="D189" t="inlineStr">
        <is>
          <t>General</t>
        </is>
      </c>
      <c r="E189" t="n">
        <v>2551</v>
      </c>
      <c r="F189" t="n">
        <v>4243</v>
      </c>
      <c r="G189" t="n">
        <v>58.46</v>
      </c>
      <c r="H189" t="n">
        <v>1</v>
      </c>
      <c r="I189" t="n">
        <v>2200</v>
      </c>
      <c r="J189" t="n">
        <v>1.93</v>
      </c>
      <c r="K189" t="n">
        <v>93</v>
      </c>
      <c r="L189" t="inlineStr">
        <is>
          <t>Under-represented</t>
        </is>
      </c>
    </row>
    <row r="190">
      <c r="A190" t="inlineStr">
        <is>
          <t>CON-187</t>
        </is>
      </c>
      <c r="B190" t="inlineStr">
        <is>
          <t>West Bengal</t>
        </is>
      </c>
      <c r="C190" t="inlineStr">
        <is>
          <t>West_Dist_187</t>
        </is>
      </c>
      <c r="D190" t="inlineStr">
        <is>
          <t>General</t>
        </is>
      </c>
      <c r="E190" t="n">
        <v>1775</v>
      </c>
      <c r="F190" t="n">
        <v>2574</v>
      </c>
      <c r="G190" t="n">
        <v>73.28</v>
      </c>
      <c r="H190" t="n">
        <v>1</v>
      </c>
      <c r="I190" t="n">
        <v>2200</v>
      </c>
      <c r="J190" t="n">
        <v>1.17</v>
      </c>
      <c r="K190" t="n">
        <v>17</v>
      </c>
      <c r="L190" t="inlineStr">
        <is>
          <t>Balanced</t>
        </is>
      </c>
    </row>
    <row r="191">
      <c r="A191" t="inlineStr">
        <is>
          <t>CON-188</t>
        </is>
      </c>
      <c r="B191" t="inlineStr">
        <is>
          <t>Telangana</t>
        </is>
      </c>
      <c r="C191" t="inlineStr">
        <is>
          <t>Telangana_Dist_188</t>
        </is>
      </c>
      <c r="D191" t="inlineStr">
        <is>
          <t>General</t>
        </is>
      </c>
      <c r="E191" t="n">
        <v>1472</v>
      </c>
      <c r="F191" t="n">
        <v>1906</v>
      </c>
      <c r="G191" t="n">
        <v>59.39</v>
      </c>
      <c r="H191" t="n">
        <v>1</v>
      </c>
      <c r="I191" t="n">
        <v>2200</v>
      </c>
      <c r="J191" t="n">
        <v>0.87</v>
      </c>
      <c r="K191" t="n">
        <v>13</v>
      </c>
      <c r="L191" t="inlineStr">
        <is>
          <t>Balanced</t>
        </is>
      </c>
    </row>
    <row r="192">
      <c r="A192" t="inlineStr">
        <is>
          <t>CON-189</t>
        </is>
      </c>
      <c r="B192" t="inlineStr">
        <is>
          <t>Telangana</t>
        </is>
      </c>
      <c r="C192" t="inlineStr">
        <is>
          <t>Telangana_Dist_189</t>
        </is>
      </c>
      <c r="D192" t="inlineStr">
        <is>
          <t>General</t>
        </is>
      </c>
      <c r="E192" t="n">
        <v>1672</v>
      </c>
      <c r="F192" t="n">
        <v>2137</v>
      </c>
      <c r="G192" t="n">
        <v>72.87</v>
      </c>
      <c r="H192" t="n">
        <v>1</v>
      </c>
      <c r="I192" t="n">
        <v>2200</v>
      </c>
      <c r="J192" t="n">
        <v>0.97</v>
      </c>
      <c r="K192" t="n">
        <v>3</v>
      </c>
      <c r="L192" t="inlineStr">
        <is>
          <t>Balanced</t>
        </is>
      </c>
    </row>
    <row r="193">
      <c r="A193" t="inlineStr">
        <is>
          <t>CON-190</t>
        </is>
      </c>
      <c r="B193" t="inlineStr">
        <is>
          <t>West Bengal</t>
        </is>
      </c>
      <c r="C193" t="inlineStr">
        <is>
          <t>West_Dist_190</t>
        </is>
      </c>
      <c r="D193" t="inlineStr">
        <is>
          <t>ST</t>
        </is>
      </c>
      <c r="E193" t="n">
        <v>1791</v>
      </c>
      <c r="F193" t="n">
        <v>2873</v>
      </c>
      <c r="G193" t="n">
        <v>83.15000000000001</v>
      </c>
      <c r="H193" t="n">
        <v>1</v>
      </c>
      <c r="I193" t="n">
        <v>2200</v>
      </c>
      <c r="J193" t="n">
        <v>1.31</v>
      </c>
      <c r="K193" t="n">
        <v>31</v>
      </c>
      <c r="L193" t="inlineStr">
        <is>
          <t>Under-represented</t>
        </is>
      </c>
    </row>
    <row r="194">
      <c r="A194" t="inlineStr">
        <is>
          <t>CON-191</t>
        </is>
      </c>
      <c r="B194" t="inlineStr">
        <is>
          <t>Uttar Pradesh</t>
        </is>
      </c>
      <c r="C194" t="inlineStr">
        <is>
          <t>Uttar_Dist_191</t>
        </is>
      </c>
      <c r="D194" t="inlineStr">
        <is>
          <t>General</t>
        </is>
      </c>
      <c r="E194" t="n">
        <v>2862</v>
      </c>
      <c r="F194" t="n">
        <v>3943</v>
      </c>
      <c r="G194" t="n">
        <v>69.54000000000001</v>
      </c>
      <c r="H194" t="n">
        <v>1</v>
      </c>
      <c r="I194" t="n">
        <v>2200</v>
      </c>
      <c r="J194" t="n">
        <v>1.79</v>
      </c>
      <c r="K194" t="n">
        <v>79</v>
      </c>
      <c r="L194" t="inlineStr">
        <is>
          <t>Under-represented</t>
        </is>
      </c>
    </row>
    <row r="195">
      <c r="A195" t="inlineStr">
        <is>
          <t>CON-192</t>
        </is>
      </c>
      <c r="B195" t="inlineStr">
        <is>
          <t>Telangana</t>
        </is>
      </c>
      <c r="C195" t="inlineStr">
        <is>
          <t>Telangana_Dist_192</t>
        </is>
      </c>
      <c r="D195" t="inlineStr">
        <is>
          <t>General</t>
        </is>
      </c>
      <c r="E195" t="n">
        <v>2330</v>
      </c>
      <c r="F195" t="n">
        <v>3397</v>
      </c>
      <c r="G195" t="n">
        <v>78.33</v>
      </c>
      <c r="H195" t="n">
        <v>1</v>
      </c>
      <c r="I195" t="n">
        <v>2200</v>
      </c>
      <c r="J195" t="n">
        <v>1.54</v>
      </c>
      <c r="K195" t="n">
        <v>54</v>
      </c>
      <c r="L195" t="inlineStr">
        <is>
          <t>Under-represented</t>
        </is>
      </c>
    </row>
    <row r="196">
      <c r="A196" t="inlineStr">
        <is>
          <t>CON-193</t>
        </is>
      </c>
      <c r="B196" t="inlineStr">
        <is>
          <t>Andhra Pradesh</t>
        </is>
      </c>
      <c r="C196" t="inlineStr">
        <is>
          <t>Andhra_Dist_193</t>
        </is>
      </c>
      <c r="D196" t="inlineStr">
        <is>
          <t>General</t>
        </is>
      </c>
      <c r="E196" t="n">
        <v>3475</v>
      </c>
      <c r="F196" t="n">
        <v>4646</v>
      </c>
      <c r="G196" t="n">
        <v>81.34</v>
      </c>
      <c r="H196" t="n">
        <v>1</v>
      </c>
      <c r="I196" t="n">
        <v>2200</v>
      </c>
      <c r="J196" t="n">
        <v>2.11</v>
      </c>
      <c r="K196" t="n">
        <v>111</v>
      </c>
      <c r="L196" t="inlineStr">
        <is>
          <t>Under-represented</t>
        </is>
      </c>
    </row>
    <row r="197">
      <c r="A197" t="inlineStr">
        <is>
          <t>CON-194</t>
        </is>
      </c>
      <c r="B197" t="inlineStr">
        <is>
          <t>Gujarat</t>
        </is>
      </c>
      <c r="C197" t="inlineStr">
        <is>
          <t>Gujarat_Dist_194</t>
        </is>
      </c>
      <c r="D197" t="inlineStr">
        <is>
          <t>General</t>
        </is>
      </c>
      <c r="E197" t="n">
        <v>1916</v>
      </c>
      <c r="F197" t="n">
        <v>2864</v>
      </c>
      <c r="G197" t="n">
        <v>54.72</v>
      </c>
      <c r="H197" t="n">
        <v>1</v>
      </c>
      <c r="I197" t="n">
        <v>2200</v>
      </c>
      <c r="J197" t="n">
        <v>1.3</v>
      </c>
      <c r="K197" t="n">
        <v>30</v>
      </c>
      <c r="L197" t="inlineStr">
        <is>
          <t>Under-represented</t>
        </is>
      </c>
    </row>
    <row r="198">
      <c r="A198" t="inlineStr">
        <is>
          <t>CON-195</t>
        </is>
      </c>
      <c r="B198" t="inlineStr">
        <is>
          <t>Gujarat</t>
        </is>
      </c>
      <c r="C198" t="inlineStr">
        <is>
          <t>Gujarat_Dist_195</t>
        </is>
      </c>
      <c r="D198" t="inlineStr">
        <is>
          <t>General</t>
        </is>
      </c>
      <c r="E198" t="n">
        <v>2766</v>
      </c>
      <c r="F198" t="n">
        <v>4839</v>
      </c>
      <c r="G198" t="n">
        <v>61.57</v>
      </c>
      <c r="H198" t="n">
        <v>1</v>
      </c>
      <c r="I198" t="n">
        <v>2200</v>
      </c>
      <c r="J198" t="n">
        <v>2.2</v>
      </c>
      <c r="K198" t="n">
        <v>120</v>
      </c>
      <c r="L198" t="inlineStr">
        <is>
          <t>Under-represented</t>
        </is>
      </c>
    </row>
    <row r="199">
      <c r="A199" t="inlineStr">
        <is>
          <t>CON-196</t>
        </is>
      </c>
      <c r="B199" t="inlineStr">
        <is>
          <t>Telangana</t>
        </is>
      </c>
      <c r="C199" t="inlineStr">
        <is>
          <t>Telangana_Dist_196</t>
        </is>
      </c>
      <c r="D199" t="inlineStr">
        <is>
          <t>General</t>
        </is>
      </c>
      <c r="E199" t="n">
        <v>3309</v>
      </c>
      <c r="F199" t="n">
        <v>5522</v>
      </c>
      <c r="G199" t="n">
        <v>74.51000000000001</v>
      </c>
      <c r="H199" t="n">
        <v>1</v>
      </c>
      <c r="I199" t="n">
        <v>2200</v>
      </c>
      <c r="J199" t="n">
        <v>2.51</v>
      </c>
      <c r="K199" t="n">
        <v>151</v>
      </c>
      <c r="L199" t="inlineStr">
        <is>
          <t>Under-represented</t>
        </is>
      </c>
    </row>
    <row r="200">
      <c r="A200" t="inlineStr">
        <is>
          <t>CON-197</t>
        </is>
      </c>
      <c r="B200" t="inlineStr">
        <is>
          <t>Bihar</t>
        </is>
      </c>
      <c r="C200" t="inlineStr">
        <is>
          <t>Bihar_Dist_197</t>
        </is>
      </c>
      <c r="D200" t="inlineStr">
        <is>
          <t>SC</t>
        </is>
      </c>
      <c r="E200" t="n">
        <v>1891</v>
      </c>
      <c r="F200" t="n">
        <v>2721</v>
      </c>
      <c r="G200" t="n">
        <v>54.41</v>
      </c>
      <c r="H200" t="n">
        <v>1</v>
      </c>
      <c r="I200" t="n">
        <v>2200</v>
      </c>
      <c r="J200" t="n">
        <v>1.24</v>
      </c>
      <c r="K200" t="n">
        <v>24</v>
      </c>
      <c r="L200" t="inlineStr">
        <is>
          <t>Balanced</t>
        </is>
      </c>
    </row>
    <row r="201">
      <c r="A201" t="inlineStr">
        <is>
          <t>CON-198</t>
        </is>
      </c>
      <c r="B201" t="inlineStr">
        <is>
          <t>West Bengal</t>
        </is>
      </c>
      <c r="C201" t="inlineStr">
        <is>
          <t>West_Dist_198</t>
        </is>
      </c>
      <c r="D201" t="inlineStr">
        <is>
          <t>ST</t>
        </is>
      </c>
      <c r="E201" t="n">
        <v>1543</v>
      </c>
      <c r="F201" t="n">
        <v>2107</v>
      </c>
      <c r="G201" t="n">
        <v>59.12</v>
      </c>
      <c r="H201" t="n">
        <v>1</v>
      </c>
      <c r="I201" t="n">
        <v>2200</v>
      </c>
      <c r="J201" t="n">
        <v>0.96</v>
      </c>
      <c r="K201" t="n">
        <v>4</v>
      </c>
      <c r="L201" t="inlineStr">
        <is>
          <t>Balanced</t>
        </is>
      </c>
    </row>
    <row r="202">
      <c r="A202" t="inlineStr">
        <is>
          <t>CON-199</t>
        </is>
      </c>
      <c r="B202" t="inlineStr">
        <is>
          <t>Tamil Nadu</t>
        </is>
      </c>
      <c r="C202" t="inlineStr">
        <is>
          <t>Tamil_Dist_199</t>
        </is>
      </c>
      <c r="D202" t="inlineStr">
        <is>
          <t>General</t>
        </is>
      </c>
      <c r="E202" t="n">
        <v>2567</v>
      </c>
      <c r="F202" t="n">
        <v>4168</v>
      </c>
      <c r="G202" t="n">
        <v>52.8</v>
      </c>
      <c r="H202" t="n">
        <v>1</v>
      </c>
      <c r="I202" t="n">
        <v>2200</v>
      </c>
      <c r="J202" t="n">
        <v>1.89</v>
      </c>
      <c r="K202" t="n">
        <v>89</v>
      </c>
      <c r="L202" t="inlineStr">
        <is>
          <t>Under-represented</t>
        </is>
      </c>
    </row>
    <row r="203">
      <c r="A203" t="inlineStr">
        <is>
          <t>CON-200</t>
        </is>
      </c>
      <c r="B203" t="inlineStr">
        <is>
          <t>Uttar Pradesh</t>
        </is>
      </c>
      <c r="C203" t="inlineStr">
        <is>
          <t>Uttar_Dist_200</t>
        </is>
      </c>
      <c r="D203" t="inlineStr">
        <is>
          <t>General</t>
        </is>
      </c>
      <c r="E203" t="n">
        <v>2704</v>
      </c>
      <c r="F203" t="n">
        <v>4488</v>
      </c>
      <c r="G203" t="n">
        <v>84.22</v>
      </c>
      <c r="H203" t="n">
        <v>1</v>
      </c>
      <c r="I203" t="n">
        <v>2200</v>
      </c>
      <c r="J203" t="n">
        <v>2.04</v>
      </c>
      <c r="K203" t="n">
        <v>104</v>
      </c>
      <c r="L203" t="inlineStr">
        <is>
          <t>Under-represented</t>
        </is>
      </c>
    </row>
    <row r="204">
      <c r="A204" t="inlineStr">
        <is>
          <t>CON-201</t>
        </is>
      </c>
      <c r="B204" t="inlineStr">
        <is>
          <t>Kerala</t>
        </is>
      </c>
      <c r="C204" t="inlineStr">
        <is>
          <t>Kerala_Dist_201</t>
        </is>
      </c>
      <c r="D204" t="inlineStr">
        <is>
          <t>SC</t>
        </is>
      </c>
      <c r="E204" t="n">
        <v>1408</v>
      </c>
      <c r="F204" t="n">
        <v>2299</v>
      </c>
      <c r="G204" t="n">
        <v>59.98</v>
      </c>
      <c r="H204" t="n">
        <v>1</v>
      </c>
      <c r="I204" t="n">
        <v>2200</v>
      </c>
      <c r="J204" t="n">
        <v>1.04</v>
      </c>
      <c r="K204" t="n">
        <v>4</v>
      </c>
      <c r="L204" t="inlineStr">
        <is>
          <t>Balanced</t>
        </is>
      </c>
    </row>
    <row r="205">
      <c r="A205" t="inlineStr">
        <is>
          <t>CON-202</t>
        </is>
      </c>
      <c r="B205" t="inlineStr">
        <is>
          <t>Bihar</t>
        </is>
      </c>
      <c r="C205" t="inlineStr">
        <is>
          <t>Bihar_Dist_202</t>
        </is>
      </c>
      <c r="D205" t="inlineStr">
        <is>
          <t>General</t>
        </is>
      </c>
      <c r="E205" t="n">
        <v>1314</v>
      </c>
      <c r="F205" t="n">
        <v>1910</v>
      </c>
      <c r="G205" t="n">
        <v>58.03</v>
      </c>
      <c r="H205" t="n">
        <v>1</v>
      </c>
      <c r="I205" t="n">
        <v>2200</v>
      </c>
      <c r="J205" t="n">
        <v>0.87</v>
      </c>
      <c r="K205" t="n">
        <v>13</v>
      </c>
      <c r="L205" t="inlineStr">
        <is>
          <t>Balanced</t>
        </is>
      </c>
    </row>
    <row r="206">
      <c r="A206" t="inlineStr">
        <is>
          <t>CON-203</t>
        </is>
      </c>
      <c r="B206" t="inlineStr">
        <is>
          <t>Maharashtra</t>
        </is>
      </c>
      <c r="C206" t="inlineStr">
        <is>
          <t>Maharashtra_Dist_203</t>
        </is>
      </c>
      <c r="D206" t="inlineStr">
        <is>
          <t>General</t>
        </is>
      </c>
      <c r="E206" t="n">
        <v>3454</v>
      </c>
      <c r="F206" t="n">
        <v>4573</v>
      </c>
      <c r="G206" t="n">
        <v>75.69</v>
      </c>
      <c r="H206" t="n">
        <v>1</v>
      </c>
      <c r="I206" t="n">
        <v>2200</v>
      </c>
      <c r="J206" t="n">
        <v>2.08</v>
      </c>
      <c r="K206" t="n">
        <v>108</v>
      </c>
      <c r="L206" t="inlineStr">
        <is>
          <t>Under-represented</t>
        </is>
      </c>
    </row>
    <row r="207">
      <c r="A207" t="inlineStr">
        <is>
          <t>CON-204</t>
        </is>
      </c>
      <c r="B207" t="inlineStr">
        <is>
          <t>Maharashtra</t>
        </is>
      </c>
      <c r="C207" t="inlineStr">
        <is>
          <t>Maharashtra_Dist_204</t>
        </is>
      </c>
      <c r="D207" t="inlineStr">
        <is>
          <t>ST</t>
        </is>
      </c>
      <c r="E207" t="n">
        <v>1979</v>
      </c>
      <c r="F207" t="n">
        <v>3414</v>
      </c>
      <c r="G207" t="n">
        <v>70.09</v>
      </c>
      <c r="H207" t="n">
        <v>1</v>
      </c>
      <c r="I207" t="n">
        <v>2200</v>
      </c>
      <c r="J207" t="n">
        <v>1.55</v>
      </c>
      <c r="K207" t="n">
        <v>55</v>
      </c>
      <c r="L207" t="inlineStr">
        <is>
          <t>Under-represented</t>
        </is>
      </c>
    </row>
    <row r="208">
      <c r="A208" t="inlineStr">
        <is>
          <t>CON-205</t>
        </is>
      </c>
      <c r="B208" t="inlineStr">
        <is>
          <t>Tamil Nadu</t>
        </is>
      </c>
      <c r="C208" t="inlineStr">
        <is>
          <t>Tamil_Dist_205</t>
        </is>
      </c>
      <c r="D208" t="inlineStr">
        <is>
          <t>General</t>
        </is>
      </c>
      <c r="E208" t="n">
        <v>1770</v>
      </c>
      <c r="F208" t="n">
        <v>2451</v>
      </c>
      <c r="G208" t="n">
        <v>70.08</v>
      </c>
      <c r="H208" t="n">
        <v>1</v>
      </c>
      <c r="I208" t="n">
        <v>2200</v>
      </c>
      <c r="J208" t="n">
        <v>1.11</v>
      </c>
      <c r="K208" t="n">
        <v>11</v>
      </c>
      <c r="L208" t="inlineStr">
        <is>
          <t>Balanced</t>
        </is>
      </c>
    </row>
    <row r="209">
      <c r="A209" t="inlineStr">
        <is>
          <t>CON-206</t>
        </is>
      </c>
      <c r="B209" t="inlineStr">
        <is>
          <t>Kerala</t>
        </is>
      </c>
      <c r="C209" t="inlineStr">
        <is>
          <t>Kerala_Dist_206</t>
        </is>
      </c>
      <c r="D209" t="inlineStr">
        <is>
          <t>General</t>
        </is>
      </c>
      <c r="E209" t="n">
        <v>2150</v>
      </c>
      <c r="F209" t="n">
        <v>3351</v>
      </c>
      <c r="G209" t="n">
        <v>63.4</v>
      </c>
      <c r="H209" t="n">
        <v>1</v>
      </c>
      <c r="I209" t="n">
        <v>2200</v>
      </c>
      <c r="J209" t="n">
        <v>1.52</v>
      </c>
      <c r="K209" t="n">
        <v>52</v>
      </c>
      <c r="L209" t="inlineStr">
        <is>
          <t>Under-represented</t>
        </is>
      </c>
    </row>
    <row r="210">
      <c r="A210" t="inlineStr">
        <is>
          <t>CON-207</t>
        </is>
      </c>
      <c r="B210" t="inlineStr">
        <is>
          <t>Uttar Pradesh</t>
        </is>
      </c>
      <c r="C210" t="inlineStr">
        <is>
          <t>Uttar_Dist_207</t>
        </is>
      </c>
      <c r="D210" t="inlineStr">
        <is>
          <t>General</t>
        </is>
      </c>
      <c r="E210" t="n">
        <v>1498</v>
      </c>
      <c r="F210" t="n">
        <v>2457</v>
      </c>
      <c r="G210" t="n">
        <v>58.63</v>
      </c>
      <c r="H210" t="n">
        <v>1</v>
      </c>
      <c r="I210" t="n">
        <v>2200</v>
      </c>
      <c r="J210" t="n">
        <v>1.12</v>
      </c>
      <c r="K210" t="n">
        <v>12</v>
      </c>
      <c r="L210" t="inlineStr">
        <is>
          <t>Balanced</t>
        </is>
      </c>
    </row>
    <row r="211">
      <c r="A211" t="inlineStr">
        <is>
          <t>CON-208</t>
        </is>
      </c>
      <c r="B211" t="inlineStr">
        <is>
          <t>West Bengal</t>
        </is>
      </c>
      <c r="C211" t="inlineStr">
        <is>
          <t>West_Dist_208</t>
        </is>
      </c>
      <c r="D211" t="inlineStr">
        <is>
          <t>General</t>
        </is>
      </c>
      <c r="E211" t="n">
        <v>2556</v>
      </c>
      <c r="F211" t="n">
        <v>3575</v>
      </c>
      <c r="G211" t="n">
        <v>66</v>
      </c>
      <c r="H211" t="n">
        <v>1</v>
      </c>
      <c r="I211" t="n">
        <v>2200</v>
      </c>
      <c r="J211" t="n">
        <v>1.62</v>
      </c>
      <c r="K211" t="n">
        <v>62</v>
      </c>
      <c r="L211" t="inlineStr">
        <is>
          <t>Under-represented</t>
        </is>
      </c>
    </row>
    <row r="212">
      <c r="A212" t="inlineStr">
        <is>
          <t>CON-209</t>
        </is>
      </c>
      <c r="B212" t="inlineStr">
        <is>
          <t>Bihar</t>
        </is>
      </c>
      <c r="C212" t="inlineStr">
        <is>
          <t>Bihar_Dist_209</t>
        </is>
      </c>
      <c r="D212" t="inlineStr">
        <is>
          <t>General</t>
        </is>
      </c>
      <c r="E212" t="n">
        <v>1808</v>
      </c>
      <c r="F212" t="n">
        <v>2773</v>
      </c>
      <c r="G212" t="n">
        <v>74.17</v>
      </c>
      <c r="H212" t="n">
        <v>1</v>
      </c>
      <c r="I212" t="n">
        <v>2200</v>
      </c>
      <c r="J212" t="n">
        <v>1.26</v>
      </c>
      <c r="K212" t="n">
        <v>26</v>
      </c>
      <c r="L212" t="inlineStr">
        <is>
          <t>Under-represented</t>
        </is>
      </c>
    </row>
    <row r="213">
      <c r="A213" t="inlineStr">
        <is>
          <t>CON-210</t>
        </is>
      </c>
      <c r="B213" t="inlineStr">
        <is>
          <t>Gujarat</t>
        </is>
      </c>
      <c r="C213" t="inlineStr">
        <is>
          <t>Gujarat_Dist_210</t>
        </is>
      </c>
      <c r="D213" t="inlineStr">
        <is>
          <t>SC</t>
        </is>
      </c>
      <c r="E213" t="n">
        <v>2351</v>
      </c>
      <c r="F213" t="n">
        <v>3224</v>
      </c>
      <c r="G213" t="n">
        <v>77.72</v>
      </c>
      <c r="H213" t="n">
        <v>1</v>
      </c>
      <c r="I213" t="n">
        <v>2200</v>
      </c>
      <c r="J213" t="n">
        <v>1.47</v>
      </c>
      <c r="K213" t="n">
        <v>47</v>
      </c>
      <c r="L213" t="inlineStr">
        <is>
          <t>Under-represented</t>
        </is>
      </c>
    </row>
    <row r="214">
      <c r="A214" t="inlineStr">
        <is>
          <t>CON-211</t>
        </is>
      </c>
      <c r="B214" t="inlineStr">
        <is>
          <t>West Bengal</t>
        </is>
      </c>
      <c r="C214" t="inlineStr">
        <is>
          <t>West_Dist_211</t>
        </is>
      </c>
      <c r="D214" t="inlineStr">
        <is>
          <t>General</t>
        </is>
      </c>
      <c r="E214" t="n">
        <v>2620</v>
      </c>
      <c r="F214" t="n">
        <v>3963</v>
      </c>
      <c r="G214" t="n">
        <v>79.76000000000001</v>
      </c>
      <c r="H214" t="n">
        <v>1</v>
      </c>
      <c r="I214" t="n">
        <v>2200</v>
      </c>
      <c r="J214" t="n">
        <v>1.8</v>
      </c>
      <c r="K214" t="n">
        <v>80</v>
      </c>
      <c r="L214" t="inlineStr">
        <is>
          <t>Under-represented</t>
        </is>
      </c>
    </row>
    <row r="215">
      <c r="A215" t="inlineStr">
        <is>
          <t>CON-212</t>
        </is>
      </c>
      <c r="B215" t="inlineStr">
        <is>
          <t>Maharashtra</t>
        </is>
      </c>
      <c r="C215" t="inlineStr">
        <is>
          <t>Maharashtra_Dist_212</t>
        </is>
      </c>
      <c r="D215" t="inlineStr">
        <is>
          <t>General</t>
        </is>
      </c>
      <c r="E215" t="n">
        <v>2712</v>
      </c>
      <c r="F215" t="n">
        <v>4622</v>
      </c>
      <c r="G215" t="n">
        <v>52.21</v>
      </c>
      <c r="H215" t="n">
        <v>1</v>
      </c>
      <c r="I215" t="n">
        <v>2200</v>
      </c>
      <c r="J215" t="n">
        <v>2.1</v>
      </c>
      <c r="K215" t="n">
        <v>110</v>
      </c>
      <c r="L215" t="inlineStr">
        <is>
          <t>Under-represented</t>
        </is>
      </c>
    </row>
    <row r="216">
      <c r="A216" t="inlineStr">
        <is>
          <t>CON-213</t>
        </is>
      </c>
      <c r="B216" t="inlineStr">
        <is>
          <t>Gujarat</t>
        </is>
      </c>
      <c r="C216" t="inlineStr">
        <is>
          <t>Gujarat_Dist_213</t>
        </is>
      </c>
      <c r="D216" t="inlineStr">
        <is>
          <t>General</t>
        </is>
      </c>
      <c r="E216" t="n">
        <v>2560</v>
      </c>
      <c r="F216" t="n">
        <v>3700</v>
      </c>
      <c r="G216" t="n">
        <v>53.18</v>
      </c>
      <c r="H216" t="n">
        <v>1</v>
      </c>
      <c r="I216" t="n">
        <v>2200</v>
      </c>
      <c r="J216" t="n">
        <v>1.68</v>
      </c>
      <c r="K216" t="n">
        <v>68</v>
      </c>
      <c r="L216" t="inlineStr">
        <is>
          <t>Under-represented</t>
        </is>
      </c>
    </row>
    <row r="217">
      <c r="A217" t="inlineStr">
        <is>
          <t>CON-214</t>
        </is>
      </c>
      <c r="B217" t="inlineStr">
        <is>
          <t>Telangana</t>
        </is>
      </c>
      <c r="C217" t="inlineStr">
        <is>
          <t>Telangana_Dist_214</t>
        </is>
      </c>
      <c r="D217" t="inlineStr">
        <is>
          <t>General</t>
        </is>
      </c>
      <c r="E217" t="n">
        <v>2956</v>
      </c>
      <c r="F217" t="n">
        <v>4896</v>
      </c>
      <c r="G217" t="n">
        <v>79.43000000000001</v>
      </c>
      <c r="H217" t="n">
        <v>1</v>
      </c>
      <c r="I217" t="n">
        <v>2200</v>
      </c>
      <c r="J217" t="n">
        <v>2.23</v>
      </c>
      <c r="K217" t="n">
        <v>123</v>
      </c>
      <c r="L217" t="inlineStr">
        <is>
          <t>Under-represented</t>
        </is>
      </c>
    </row>
    <row r="218">
      <c r="A218" t="inlineStr">
        <is>
          <t>CON-215</t>
        </is>
      </c>
      <c r="B218" t="inlineStr">
        <is>
          <t>Tamil Nadu</t>
        </is>
      </c>
      <c r="C218" t="inlineStr">
        <is>
          <t>Tamil_Dist_215</t>
        </is>
      </c>
      <c r="D218" t="inlineStr">
        <is>
          <t>General</t>
        </is>
      </c>
      <c r="E218" t="n">
        <v>1638</v>
      </c>
      <c r="F218" t="n">
        <v>2165</v>
      </c>
      <c r="G218" t="n">
        <v>65.59</v>
      </c>
      <c r="H218" t="n">
        <v>1</v>
      </c>
      <c r="I218" t="n">
        <v>2200</v>
      </c>
      <c r="J218" t="n">
        <v>0.98</v>
      </c>
      <c r="K218" t="n">
        <v>2</v>
      </c>
      <c r="L218" t="inlineStr">
        <is>
          <t>Balanced</t>
        </is>
      </c>
    </row>
    <row r="219">
      <c r="A219" t="inlineStr">
        <is>
          <t>CON-216</t>
        </is>
      </c>
      <c r="B219" t="inlineStr">
        <is>
          <t>Tamil Nadu</t>
        </is>
      </c>
      <c r="C219" t="inlineStr">
        <is>
          <t>Tamil_Dist_216</t>
        </is>
      </c>
      <c r="D219" t="inlineStr">
        <is>
          <t>General</t>
        </is>
      </c>
      <c r="E219" t="n">
        <v>3688</v>
      </c>
      <c r="F219" t="n">
        <v>5540</v>
      </c>
      <c r="G219" t="n">
        <v>78.20999999999999</v>
      </c>
      <c r="H219" t="n">
        <v>1</v>
      </c>
      <c r="I219" t="n">
        <v>2200</v>
      </c>
      <c r="J219" t="n">
        <v>2.52</v>
      </c>
      <c r="K219" t="n">
        <v>152</v>
      </c>
      <c r="L219" t="inlineStr">
        <is>
          <t>Under-represented</t>
        </is>
      </c>
    </row>
    <row r="220">
      <c r="A220" t="inlineStr">
        <is>
          <t>CON-217</t>
        </is>
      </c>
      <c r="B220" t="inlineStr">
        <is>
          <t>Bihar</t>
        </is>
      </c>
      <c r="C220" t="inlineStr">
        <is>
          <t>Bihar_Dist_217</t>
        </is>
      </c>
      <c r="D220" t="inlineStr">
        <is>
          <t>General</t>
        </is>
      </c>
      <c r="E220" t="n">
        <v>3011</v>
      </c>
      <c r="F220" t="n">
        <v>5174</v>
      </c>
      <c r="G220" t="n">
        <v>65.16</v>
      </c>
      <c r="H220" t="n">
        <v>1</v>
      </c>
      <c r="I220" t="n">
        <v>2200</v>
      </c>
      <c r="J220" t="n">
        <v>2.35</v>
      </c>
      <c r="K220" t="n">
        <v>135</v>
      </c>
      <c r="L220" t="inlineStr">
        <is>
          <t>Under-represented</t>
        </is>
      </c>
    </row>
    <row r="221">
      <c r="A221" t="inlineStr">
        <is>
          <t>CON-218</t>
        </is>
      </c>
      <c r="B221" t="inlineStr">
        <is>
          <t>West Bengal</t>
        </is>
      </c>
      <c r="C221" t="inlineStr">
        <is>
          <t>West_Dist_218</t>
        </is>
      </c>
      <c r="D221" t="inlineStr">
        <is>
          <t>SC</t>
        </is>
      </c>
      <c r="E221" t="n">
        <v>1443</v>
      </c>
      <c r="F221" t="n">
        <v>1822</v>
      </c>
      <c r="G221" t="n">
        <v>69.86</v>
      </c>
      <c r="H221" t="n">
        <v>1</v>
      </c>
      <c r="I221" t="n">
        <v>2200</v>
      </c>
      <c r="J221" t="n">
        <v>0.83</v>
      </c>
      <c r="K221" t="n">
        <v>17</v>
      </c>
      <c r="L221" t="inlineStr">
        <is>
          <t>Balanced</t>
        </is>
      </c>
    </row>
    <row r="222">
      <c r="A222" t="inlineStr">
        <is>
          <t>CON-219</t>
        </is>
      </c>
      <c r="B222" t="inlineStr">
        <is>
          <t>Karnataka</t>
        </is>
      </c>
      <c r="C222" t="inlineStr">
        <is>
          <t>Karnataka_Dist_219</t>
        </is>
      </c>
      <c r="D222" t="inlineStr">
        <is>
          <t>ST</t>
        </is>
      </c>
      <c r="E222" t="n">
        <v>1771</v>
      </c>
      <c r="F222" t="n">
        <v>3035</v>
      </c>
      <c r="G222" t="n">
        <v>56.67</v>
      </c>
      <c r="H222" t="n">
        <v>1</v>
      </c>
      <c r="I222" t="n">
        <v>2200</v>
      </c>
      <c r="J222" t="n">
        <v>1.38</v>
      </c>
      <c r="K222" t="n">
        <v>38</v>
      </c>
      <c r="L222" t="inlineStr">
        <is>
          <t>Under-represented</t>
        </is>
      </c>
    </row>
    <row r="223">
      <c r="A223" t="inlineStr">
        <is>
          <t>CON-220</t>
        </is>
      </c>
      <c r="B223" t="inlineStr">
        <is>
          <t>Gujarat</t>
        </is>
      </c>
      <c r="C223" t="inlineStr">
        <is>
          <t>Gujarat_Dist_220</t>
        </is>
      </c>
      <c r="D223" t="inlineStr">
        <is>
          <t>General</t>
        </is>
      </c>
      <c r="E223" t="n">
        <v>2977</v>
      </c>
      <c r="F223" t="n">
        <v>4160</v>
      </c>
      <c r="G223" t="n">
        <v>70.77</v>
      </c>
      <c r="H223" t="n">
        <v>1</v>
      </c>
      <c r="I223" t="n">
        <v>2200</v>
      </c>
      <c r="J223" t="n">
        <v>1.89</v>
      </c>
      <c r="K223" t="n">
        <v>89</v>
      </c>
      <c r="L223" t="inlineStr">
        <is>
          <t>Under-represented</t>
        </is>
      </c>
    </row>
    <row r="224">
      <c r="A224" t="inlineStr">
        <is>
          <t>CON-221</t>
        </is>
      </c>
      <c r="B224" t="inlineStr">
        <is>
          <t>Telangana</t>
        </is>
      </c>
      <c r="C224" t="inlineStr">
        <is>
          <t>Telangana_Dist_221</t>
        </is>
      </c>
      <c r="D224" t="inlineStr">
        <is>
          <t>General</t>
        </is>
      </c>
      <c r="E224" t="n">
        <v>3695</v>
      </c>
      <c r="F224" t="n">
        <v>5916</v>
      </c>
      <c r="G224" t="n">
        <v>65.04000000000001</v>
      </c>
      <c r="H224" t="n">
        <v>1</v>
      </c>
      <c r="I224" t="n">
        <v>2200</v>
      </c>
      <c r="J224" t="n">
        <v>2.69</v>
      </c>
      <c r="K224" t="n">
        <v>169</v>
      </c>
      <c r="L224" t="inlineStr">
        <is>
          <t>Under-represented</t>
        </is>
      </c>
    </row>
    <row r="225">
      <c r="A225" t="inlineStr">
        <is>
          <t>CON-222</t>
        </is>
      </c>
      <c r="B225" t="inlineStr">
        <is>
          <t>Andhra Pradesh</t>
        </is>
      </c>
      <c r="C225" t="inlineStr">
        <is>
          <t>Andhra_Dist_222</t>
        </is>
      </c>
      <c r="D225" t="inlineStr">
        <is>
          <t>General</t>
        </is>
      </c>
      <c r="E225" t="n">
        <v>2493</v>
      </c>
      <c r="F225" t="n">
        <v>4174</v>
      </c>
      <c r="G225" t="n">
        <v>70.8</v>
      </c>
      <c r="H225" t="n">
        <v>1</v>
      </c>
      <c r="I225" t="n">
        <v>2200</v>
      </c>
      <c r="J225" t="n">
        <v>1.9</v>
      </c>
      <c r="K225" t="n">
        <v>90</v>
      </c>
      <c r="L225" t="inlineStr">
        <is>
          <t>Under-represented</t>
        </is>
      </c>
    </row>
    <row r="226">
      <c r="A226" t="inlineStr">
        <is>
          <t>CON-223</t>
        </is>
      </c>
      <c r="B226" t="inlineStr">
        <is>
          <t>Gujarat</t>
        </is>
      </c>
      <c r="C226" t="inlineStr">
        <is>
          <t>Gujarat_Dist_223</t>
        </is>
      </c>
      <c r="D226" t="inlineStr">
        <is>
          <t>General</t>
        </is>
      </c>
      <c r="E226" t="n">
        <v>3654</v>
      </c>
      <c r="F226" t="n">
        <v>5065</v>
      </c>
      <c r="G226" t="n">
        <v>79.92</v>
      </c>
      <c r="H226" t="n">
        <v>1</v>
      </c>
      <c r="I226" t="n">
        <v>2200</v>
      </c>
      <c r="J226" t="n">
        <v>2.3</v>
      </c>
      <c r="K226" t="n">
        <v>130</v>
      </c>
      <c r="L226" t="inlineStr">
        <is>
          <t>Under-represented</t>
        </is>
      </c>
    </row>
    <row r="227">
      <c r="A227" t="inlineStr">
        <is>
          <t>CON-224</t>
        </is>
      </c>
      <c r="B227" t="inlineStr">
        <is>
          <t>Bihar</t>
        </is>
      </c>
      <c r="C227" t="inlineStr">
        <is>
          <t>Bihar_Dist_224</t>
        </is>
      </c>
      <c r="D227" t="inlineStr">
        <is>
          <t>SC</t>
        </is>
      </c>
      <c r="E227" t="n">
        <v>1524</v>
      </c>
      <c r="F227" t="n">
        <v>2153</v>
      </c>
      <c r="G227" t="n">
        <v>67.70999999999999</v>
      </c>
      <c r="H227" t="n">
        <v>1</v>
      </c>
      <c r="I227" t="n">
        <v>2200</v>
      </c>
      <c r="J227" t="n">
        <v>0.98</v>
      </c>
      <c r="K227" t="n">
        <v>2</v>
      </c>
      <c r="L227" t="inlineStr">
        <is>
          <t>Balanced</t>
        </is>
      </c>
    </row>
    <row r="228">
      <c r="A228" t="inlineStr">
        <is>
          <t>CON-225</t>
        </is>
      </c>
      <c r="B228" t="inlineStr">
        <is>
          <t>West Bengal</t>
        </is>
      </c>
      <c r="C228" t="inlineStr">
        <is>
          <t>West_Dist_225</t>
        </is>
      </c>
      <c r="D228" t="inlineStr">
        <is>
          <t>General</t>
        </is>
      </c>
      <c r="E228" t="n">
        <v>2928</v>
      </c>
      <c r="F228" t="n">
        <v>4903</v>
      </c>
      <c r="G228" t="n">
        <v>57.41</v>
      </c>
      <c r="H228" t="n">
        <v>1</v>
      </c>
      <c r="I228" t="n">
        <v>2200</v>
      </c>
      <c r="J228" t="n">
        <v>2.23</v>
      </c>
      <c r="K228" t="n">
        <v>123</v>
      </c>
      <c r="L228" t="inlineStr">
        <is>
          <t>Under-represented</t>
        </is>
      </c>
    </row>
    <row r="229">
      <c r="A229" t="inlineStr">
        <is>
          <t>CON-226</t>
        </is>
      </c>
      <c r="B229" t="inlineStr">
        <is>
          <t>Andhra Pradesh</t>
        </is>
      </c>
      <c r="C229" t="inlineStr">
        <is>
          <t>Andhra_Dist_226</t>
        </is>
      </c>
      <c r="D229" t="inlineStr">
        <is>
          <t>ST</t>
        </is>
      </c>
      <c r="E229" t="n">
        <v>3535</v>
      </c>
      <c r="F229" t="n">
        <v>5300</v>
      </c>
      <c r="G229" t="n">
        <v>64.11</v>
      </c>
      <c r="H229" t="n">
        <v>1</v>
      </c>
      <c r="I229" t="n">
        <v>2200</v>
      </c>
      <c r="J229" t="n">
        <v>2.41</v>
      </c>
      <c r="K229" t="n">
        <v>141</v>
      </c>
      <c r="L229" t="inlineStr">
        <is>
          <t>Under-represented</t>
        </is>
      </c>
    </row>
    <row r="230">
      <c r="A230" t="inlineStr">
        <is>
          <t>CON-227</t>
        </is>
      </c>
      <c r="B230" t="inlineStr">
        <is>
          <t>Maharashtra</t>
        </is>
      </c>
      <c r="C230" t="inlineStr">
        <is>
          <t>Maharashtra_Dist_227</t>
        </is>
      </c>
      <c r="D230" t="inlineStr">
        <is>
          <t>General</t>
        </is>
      </c>
      <c r="E230" t="n">
        <v>2685</v>
      </c>
      <c r="F230" t="n">
        <v>4613</v>
      </c>
      <c r="G230" t="n">
        <v>80.86</v>
      </c>
      <c r="H230" t="n">
        <v>1</v>
      </c>
      <c r="I230" t="n">
        <v>2200</v>
      </c>
      <c r="J230" t="n">
        <v>2.1</v>
      </c>
      <c r="K230" t="n">
        <v>110</v>
      </c>
      <c r="L230" t="inlineStr">
        <is>
          <t>Under-represented</t>
        </is>
      </c>
    </row>
    <row r="231">
      <c r="A231" t="inlineStr">
        <is>
          <t>CON-228</t>
        </is>
      </c>
      <c r="B231" t="inlineStr">
        <is>
          <t>Karnataka</t>
        </is>
      </c>
      <c r="C231" t="inlineStr">
        <is>
          <t>Karnataka_Dist_228</t>
        </is>
      </c>
      <c r="D231" t="inlineStr">
        <is>
          <t>SC</t>
        </is>
      </c>
      <c r="E231" t="n">
        <v>3419</v>
      </c>
      <c r="F231" t="n">
        <v>5433</v>
      </c>
      <c r="G231" t="n">
        <v>77.86</v>
      </c>
      <c r="H231" t="n">
        <v>1</v>
      </c>
      <c r="I231" t="n">
        <v>2200</v>
      </c>
      <c r="J231" t="n">
        <v>2.47</v>
      </c>
      <c r="K231" t="n">
        <v>147</v>
      </c>
      <c r="L231" t="inlineStr">
        <is>
          <t>Under-represented</t>
        </is>
      </c>
    </row>
    <row r="232">
      <c r="A232" t="inlineStr">
        <is>
          <t>CON-229</t>
        </is>
      </c>
      <c r="B232" t="inlineStr">
        <is>
          <t>Uttar Pradesh</t>
        </is>
      </c>
      <c r="C232" t="inlineStr">
        <is>
          <t>Uttar_Dist_229</t>
        </is>
      </c>
      <c r="D232" t="inlineStr">
        <is>
          <t>SC</t>
        </is>
      </c>
      <c r="E232" t="n">
        <v>1306</v>
      </c>
      <c r="F232" t="n">
        <v>1841</v>
      </c>
      <c r="G232" t="n">
        <v>65.81</v>
      </c>
      <c r="H232" t="n">
        <v>1</v>
      </c>
      <c r="I232" t="n">
        <v>2200</v>
      </c>
      <c r="J232" t="n">
        <v>0.84</v>
      </c>
      <c r="K232" t="n">
        <v>16</v>
      </c>
      <c r="L232" t="inlineStr">
        <is>
          <t>Balanced</t>
        </is>
      </c>
    </row>
    <row r="233">
      <c r="A233" t="inlineStr">
        <is>
          <t>CON-230</t>
        </is>
      </c>
      <c r="B233" t="inlineStr">
        <is>
          <t>Uttar Pradesh</t>
        </is>
      </c>
      <c r="C233" t="inlineStr">
        <is>
          <t>Uttar_Dist_230</t>
        </is>
      </c>
      <c r="D233" t="inlineStr">
        <is>
          <t>General</t>
        </is>
      </c>
      <c r="E233" t="n">
        <v>3559</v>
      </c>
      <c r="F233" t="n">
        <v>5328</v>
      </c>
      <c r="G233" t="n">
        <v>82.70999999999999</v>
      </c>
      <c r="H233" t="n">
        <v>1</v>
      </c>
      <c r="I233" t="n">
        <v>2200</v>
      </c>
      <c r="J233" t="n">
        <v>2.42</v>
      </c>
      <c r="K233" t="n">
        <v>142</v>
      </c>
      <c r="L233" t="inlineStr">
        <is>
          <t>Under-represented</t>
        </is>
      </c>
    </row>
    <row r="234">
      <c r="A234" t="inlineStr">
        <is>
          <t>CON-231</t>
        </is>
      </c>
      <c r="B234" t="inlineStr">
        <is>
          <t>Karnataka</t>
        </is>
      </c>
      <c r="C234" t="inlineStr">
        <is>
          <t>Karnataka_Dist_231</t>
        </is>
      </c>
      <c r="D234" t="inlineStr">
        <is>
          <t>General</t>
        </is>
      </c>
      <c r="E234" t="n">
        <v>3665</v>
      </c>
      <c r="F234" t="n">
        <v>5537</v>
      </c>
      <c r="G234" t="n">
        <v>74.51000000000001</v>
      </c>
      <c r="H234" t="n">
        <v>1</v>
      </c>
      <c r="I234" t="n">
        <v>2200</v>
      </c>
      <c r="J234" t="n">
        <v>2.52</v>
      </c>
      <c r="K234" t="n">
        <v>152</v>
      </c>
      <c r="L234" t="inlineStr">
        <is>
          <t>Under-represented</t>
        </is>
      </c>
    </row>
    <row r="235">
      <c r="A235" t="inlineStr">
        <is>
          <t>CON-232</t>
        </is>
      </c>
      <c r="B235" t="inlineStr">
        <is>
          <t>Uttar Pradesh</t>
        </is>
      </c>
      <c r="C235" t="inlineStr">
        <is>
          <t>Uttar_Dist_232</t>
        </is>
      </c>
      <c r="D235" t="inlineStr">
        <is>
          <t>General</t>
        </is>
      </c>
      <c r="E235" t="n">
        <v>2638</v>
      </c>
      <c r="F235" t="n">
        <v>3306</v>
      </c>
      <c r="G235" t="n">
        <v>53.41</v>
      </c>
      <c r="H235" t="n">
        <v>1</v>
      </c>
      <c r="I235" t="n">
        <v>2200</v>
      </c>
      <c r="J235" t="n">
        <v>1.5</v>
      </c>
      <c r="K235" t="n">
        <v>50</v>
      </c>
      <c r="L235" t="inlineStr">
        <is>
          <t>Under-represented</t>
        </is>
      </c>
    </row>
    <row r="236">
      <c r="A236" t="inlineStr">
        <is>
          <t>CON-233</t>
        </is>
      </c>
      <c r="B236" t="inlineStr">
        <is>
          <t>Maharashtra</t>
        </is>
      </c>
      <c r="C236" t="inlineStr">
        <is>
          <t>Maharashtra_Dist_233</t>
        </is>
      </c>
      <c r="D236" t="inlineStr">
        <is>
          <t>General</t>
        </is>
      </c>
      <c r="E236" t="n">
        <v>3016</v>
      </c>
      <c r="F236" t="n">
        <v>4126</v>
      </c>
      <c r="G236" t="n">
        <v>83.77</v>
      </c>
      <c r="H236" t="n">
        <v>1</v>
      </c>
      <c r="I236" t="n">
        <v>2200</v>
      </c>
      <c r="J236" t="n">
        <v>1.88</v>
      </c>
      <c r="K236" t="n">
        <v>88</v>
      </c>
      <c r="L236" t="inlineStr">
        <is>
          <t>Under-represented</t>
        </is>
      </c>
    </row>
    <row r="237">
      <c r="A237" t="inlineStr">
        <is>
          <t>CON-234</t>
        </is>
      </c>
      <c r="B237" t="inlineStr">
        <is>
          <t>Tamil Nadu</t>
        </is>
      </c>
      <c r="C237" t="inlineStr">
        <is>
          <t>Tamil_Dist_234</t>
        </is>
      </c>
      <c r="D237" t="inlineStr">
        <is>
          <t>General</t>
        </is>
      </c>
      <c r="E237" t="n">
        <v>1907</v>
      </c>
      <c r="F237" t="n">
        <v>3253</v>
      </c>
      <c r="G237" t="n">
        <v>79.69</v>
      </c>
      <c r="H237" t="n">
        <v>1</v>
      </c>
      <c r="I237" t="n">
        <v>2200</v>
      </c>
      <c r="J237" t="n">
        <v>1.48</v>
      </c>
      <c r="K237" t="n">
        <v>48</v>
      </c>
      <c r="L237" t="inlineStr">
        <is>
          <t>Under-represented</t>
        </is>
      </c>
    </row>
    <row r="238">
      <c r="A238" t="inlineStr">
        <is>
          <t>CON-235</t>
        </is>
      </c>
      <c r="B238" t="inlineStr">
        <is>
          <t>Kerala</t>
        </is>
      </c>
      <c r="C238" t="inlineStr">
        <is>
          <t>Kerala_Dist_235</t>
        </is>
      </c>
      <c r="D238" t="inlineStr">
        <is>
          <t>General</t>
        </is>
      </c>
      <c r="E238" t="n">
        <v>3744</v>
      </c>
      <c r="F238" t="n">
        <v>5379</v>
      </c>
      <c r="G238" t="n">
        <v>67.12</v>
      </c>
      <c r="H238" t="n">
        <v>1</v>
      </c>
      <c r="I238" t="n">
        <v>2200</v>
      </c>
      <c r="J238" t="n">
        <v>2.44</v>
      </c>
      <c r="K238" t="n">
        <v>144</v>
      </c>
      <c r="L238" t="inlineStr">
        <is>
          <t>Under-represented</t>
        </is>
      </c>
    </row>
    <row r="239">
      <c r="A239" t="inlineStr">
        <is>
          <t>CON-236</t>
        </is>
      </c>
      <c r="B239" t="inlineStr">
        <is>
          <t>Gujarat</t>
        </is>
      </c>
      <c r="C239" t="inlineStr">
        <is>
          <t>Gujarat_Dist_236</t>
        </is>
      </c>
      <c r="D239" t="inlineStr">
        <is>
          <t>ST</t>
        </is>
      </c>
      <c r="E239" t="n">
        <v>3778</v>
      </c>
      <c r="F239" t="n">
        <v>6188</v>
      </c>
      <c r="G239" t="n">
        <v>56.24</v>
      </c>
      <c r="H239" t="n">
        <v>1</v>
      </c>
      <c r="I239" t="n">
        <v>2200</v>
      </c>
      <c r="J239" t="n">
        <v>2.81</v>
      </c>
      <c r="K239" t="n">
        <v>181</v>
      </c>
      <c r="L239" t="inlineStr">
        <is>
          <t>Under-represented</t>
        </is>
      </c>
    </row>
    <row r="240">
      <c r="A240" t="inlineStr">
        <is>
          <t>CON-237</t>
        </is>
      </c>
      <c r="B240" t="inlineStr">
        <is>
          <t>Bihar</t>
        </is>
      </c>
      <c r="C240" t="inlineStr">
        <is>
          <t>Bihar_Dist_237</t>
        </is>
      </c>
      <c r="D240" t="inlineStr">
        <is>
          <t>General</t>
        </is>
      </c>
      <c r="E240" t="n">
        <v>1494</v>
      </c>
      <c r="F240" t="n">
        <v>2400</v>
      </c>
      <c r="G240" t="n">
        <v>70.29000000000001</v>
      </c>
      <c r="H240" t="n">
        <v>1</v>
      </c>
      <c r="I240" t="n">
        <v>2200</v>
      </c>
      <c r="J240" t="n">
        <v>1.09</v>
      </c>
      <c r="K240" t="n">
        <v>9</v>
      </c>
      <c r="L240" t="inlineStr">
        <is>
          <t>Balanced</t>
        </is>
      </c>
    </row>
    <row r="241">
      <c r="A241" t="inlineStr">
        <is>
          <t>CON-238</t>
        </is>
      </c>
      <c r="B241" t="inlineStr">
        <is>
          <t>Uttar Pradesh</t>
        </is>
      </c>
      <c r="C241" t="inlineStr">
        <is>
          <t>Uttar_Dist_238</t>
        </is>
      </c>
      <c r="D241" t="inlineStr">
        <is>
          <t>General</t>
        </is>
      </c>
      <c r="E241" t="n">
        <v>2072</v>
      </c>
      <c r="F241" t="n">
        <v>2727</v>
      </c>
      <c r="G241" t="n">
        <v>72.95</v>
      </c>
      <c r="H241" t="n">
        <v>1</v>
      </c>
      <c r="I241" t="n">
        <v>2200</v>
      </c>
      <c r="J241" t="n">
        <v>1.24</v>
      </c>
      <c r="K241" t="n">
        <v>24</v>
      </c>
      <c r="L241" t="inlineStr">
        <is>
          <t>Balanced</t>
        </is>
      </c>
    </row>
    <row r="242">
      <c r="A242" t="inlineStr">
        <is>
          <t>CON-239</t>
        </is>
      </c>
      <c r="B242" t="inlineStr">
        <is>
          <t>Gujarat</t>
        </is>
      </c>
      <c r="C242" t="inlineStr">
        <is>
          <t>Gujarat_Dist_239</t>
        </is>
      </c>
      <c r="D242" t="inlineStr">
        <is>
          <t>General</t>
        </is>
      </c>
      <c r="E242" t="n">
        <v>1957</v>
      </c>
      <c r="F242" t="n">
        <v>2786</v>
      </c>
      <c r="G242" t="n">
        <v>75.98</v>
      </c>
      <c r="H242" t="n">
        <v>1</v>
      </c>
      <c r="I242" t="n">
        <v>2200</v>
      </c>
      <c r="J242" t="n">
        <v>1.27</v>
      </c>
      <c r="K242" t="n">
        <v>27</v>
      </c>
      <c r="L242" t="inlineStr">
        <is>
          <t>Under-represented</t>
        </is>
      </c>
    </row>
    <row r="243">
      <c r="A243" t="inlineStr">
        <is>
          <t>CON-240</t>
        </is>
      </c>
      <c r="B243" t="inlineStr">
        <is>
          <t>Uttar Pradesh</t>
        </is>
      </c>
      <c r="C243" t="inlineStr">
        <is>
          <t>Uttar_Dist_240</t>
        </is>
      </c>
      <c r="D243" t="inlineStr">
        <is>
          <t>General</t>
        </is>
      </c>
      <c r="E243" t="n">
        <v>3171</v>
      </c>
      <c r="F243" t="n">
        <v>5312</v>
      </c>
      <c r="G243" t="n">
        <v>55.55</v>
      </c>
      <c r="H243" t="n">
        <v>1</v>
      </c>
      <c r="I243" t="n">
        <v>2200</v>
      </c>
      <c r="J243" t="n">
        <v>2.41</v>
      </c>
      <c r="K243" t="n">
        <v>141</v>
      </c>
      <c r="L243" t="inlineStr">
        <is>
          <t>Under-represented</t>
        </is>
      </c>
    </row>
    <row r="244">
      <c r="A244" t="inlineStr">
        <is>
          <t>CON-241</t>
        </is>
      </c>
      <c r="B244" t="inlineStr">
        <is>
          <t>Karnataka</t>
        </is>
      </c>
      <c r="C244" t="inlineStr">
        <is>
          <t>Karnataka_Dist_241</t>
        </is>
      </c>
      <c r="D244" t="inlineStr">
        <is>
          <t>General</t>
        </is>
      </c>
      <c r="E244" t="n">
        <v>3253</v>
      </c>
      <c r="F244" t="n">
        <v>5404</v>
      </c>
      <c r="G244" t="n">
        <v>57.68</v>
      </c>
      <c r="H244" t="n">
        <v>1</v>
      </c>
      <c r="I244" t="n">
        <v>2200</v>
      </c>
      <c r="J244" t="n">
        <v>2.46</v>
      </c>
      <c r="K244" t="n">
        <v>146</v>
      </c>
      <c r="L244" t="inlineStr">
        <is>
          <t>Under-represented</t>
        </is>
      </c>
    </row>
    <row r="245">
      <c r="A245" t="inlineStr">
        <is>
          <t>CON-242</t>
        </is>
      </c>
      <c r="B245" t="inlineStr">
        <is>
          <t>Kerala</t>
        </is>
      </c>
      <c r="C245" t="inlineStr">
        <is>
          <t>Kerala_Dist_242</t>
        </is>
      </c>
      <c r="D245" t="inlineStr">
        <is>
          <t>General</t>
        </is>
      </c>
      <c r="E245" t="n">
        <v>1732</v>
      </c>
      <c r="F245" t="n">
        <v>2336</v>
      </c>
      <c r="G245" t="n">
        <v>71.8</v>
      </c>
      <c r="H245" t="n">
        <v>1</v>
      </c>
      <c r="I245" t="n">
        <v>2200</v>
      </c>
      <c r="J245" t="n">
        <v>1.06</v>
      </c>
      <c r="K245" t="n">
        <v>6</v>
      </c>
      <c r="L245" t="inlineStr">
        <is>
          <t>Balanced</t>
        </is>
      </c>
    </row>
    <row r="246">
      <c r="A246" t="inlineStr">
        <is>
          <t>CON-243</t>
        </is>
      </c>
      <c r="B246" t="inlineStr">
        <is>
          <t>Andhra Pradesh</t>
        </is>
      </c>
      <c r="C246" t="inlineStr">
        <is>
          <t>Andhra_Dist_243</t>
        </is>
      </c>
      <c r="D246" t="inlineStr">
        <is>
          <t>SC</t>
        </is>
      </c>
      <c r="E246" t="n">
        <v>3767</v>
      </c>
      <c r="F246" t="n">
        <v>5167</v>
      </c>
      <c r="G246" t="n">
        <v>66.18000000000001</v>
      </c>
      <c r="H246" t="n">
        <v>1</v>
      </c>
      <c r="I246" t="n">
        <v>2200</v>
      </c>
      <c r="J246" t="n">
        <v>2.35</v>
      </c>
      <c r="K246" t="n">
        <v>135</v>
      </c>
      <c r="L246" t="inlineStr">
        <is>
          <t>Under-represented</t>
        </is>
      </c>
    </row>
    <row r="247">
      <c r="A247" t="inlineStr">
        <is>
          <t>CON-244</t>
        </is>
      </c>
      <c r="B247" t="inlineStr">
        <is>
          <t>Uttar Pradesh</t>
        </is>
      </c>
      <c r="C247" t="inlineStr">
        <is>
          <t>Uttar_Dist_244</t>
        </is>
      </c>
      <c r="D247" t="inlineStr">
        <is>
          <t>General</t>
        </is>
      </c>
      <c r="E247" t="n">
        <v>2157</v>
      </c>
      <c r="F247" t="n">
        <v>3639</v>
      </c>
      <c r="G247" t="n">
        <v>80.34</v>
      </c>
      <c r="H247" t="n">
        <v>1</v>
      </c>
      <c r="I247" t="n">
        <v>2200</v>
      </c>
      <c r="J247" t="n">
        <v>1.65</v>
      </c>
      <c r="K247" t="n">
        <v>65</v>
      </c>
      <c r="L247" t="inlineStr">
        <is>
          <t>Under-represented</t>
        </is>
      </c>
    </row>
    <row r="248">
      <c r="A248" t="inlineStr">
        <is>
          <t>CON-245</t>
        </is>
      </c>
      <c r="B248" t="inlineStr">
        <is>
          <t>Maharashtra</t>
        </is>
      </c>
      <c r="C248" t="inlineStr">
        <is>
          <t>Maharashtra_Dist_245</t>
        </is>
      </c>
      <c r="D248" t="inlineStr">
        <is>
          <t>General</t>
        </is>
      </c>
      <c r="E248" t="n">
        <v>1299</v>
      </c>
      <c r="F248" t="n">
        <v>2159</v>
      </c>
      <c r="G248" t="n">
        <v>78.28</v>
      </c>
      <c r="H248" t="n">
        <v>1</v>
      </c>
      <c r="I248" t="n">
        <v>2200</v>
      </c>
      <c r="J248" t="n">
        <v>0.98</v>
      </c>
      <c r="K248" t="n">
        <v>2</v>
      </c>
      <c r="L248" t="inlineStr">
        <is>
          <t>Balanced</t>
        </is>
      </c>
    </row>
    <row r="249">
      <c r="A249" t="inlineStr">
        <is>
          <t>CON-246</t>
        </is>
      </c>
      <c r="B249" t="inlineStr">
        <is>
          <t>Kerala</t>
        </is>
      </c>
      <c r="C249" t="inlineStr">
        <is>
          <t>Kerala_Dist_246</t>
        </is>
      </c>
      <c r="D249" t="inlineStr">
        <is>
          <t>SC</t>
        </is>
      </c>
      <c r="E249" t="n">
        <v>1820</v>
      </c>
      <c r="F249" t="n">
        <v>2765</v>
      </c>
      <c r="G249" t="n">
        <v>64.14</v>
      </c>
      <c r="H249" t="n">
        <v>1</v>
      </c>
      <c r="I249" t="n">
        <v>2200</v>
      </c>
      <c r="J249" t="n">
        <v>1.26</v>
      </c>
      <c r="K249" t="n">
        <v>26</v>
      </c>
      <c r="L249" t="inlineStr">
        <is>
          <t>Under-represented</t>
        </is>
      </c>
    </row>
    <row r="250">
      <c r="A250" t="inlineStr">
        <is>
          <t>CON-247</t>
        </is>
      </c>
      <c r="B250" t="inlineStr">
        <is>
          <t>Gujarat</t>
        </is>
      </c>
      <c r="C250" t="inlineStr">
        <is>
          <t>Gujarat_Dist_247</t>
        </is>
      </c>
      <c r="D250" t="inlineStr">
        <is>
          <t>General</t>
        </is>
      </c>
      <c r="E250" t="n">
        <v>3106</v>
      </c>
      <c r="F250" t="n">
        <v>4329</v>
      </c>
      <c r="G250" t="n">
        <v>82.59999999999999</v>
      </c>
      <c r="H250" t="n">
        <v>1</v>
      </c>
      <c r="I250" t="n">
        <v>2200</v>
      </c>
      <c r="J250" t="n">
        <v>1.97</v>
      </c>
      <c r="K250" t="n">
        <v>97</v>
      </c>
      <c r="L250" t="inlineStr">
        <is>
          <t>Under-represented</t>
        </is>
      </c>
    </row>
    <row r="251">
      <c r="A251" t="inlineStr">
        <is>
          <t>CON-248</t>
        </is>
      </c>
      <c r="B251" t="inlineStr">
        <is>
          <t>Andhra Pradesh</t>
        </is>
      </c>
      <c r="C251" t="inlineStr">
        <is>
          <t>Andhra_Dist_248</t>
        </is>
      </c>
      <c r="D251" t="inlineStr">
        <is>
          <t>General</t>
        </is>
      </c>
      <c r="E251" t="n">
        <v>3310</v>
      </c>
      <c r="F251" t="n">
        <v>4832</v>
      </c>
      <c r="G251" t="n">
        <v>52.15</v>
      </c>
      <c r="H251" t="n">
        <v>1</v>
      </c>
      <c r="I251" t="n">
        <v>2200</v>
      </c>
      <c r="J251" t="n">
        <v>2.2</v>
      </c>
      <c r="K251" t="n">
        <v>120</v>
      </c>
      <c r="L251" t="inlineStr">
        <is>
          <t>Under-represented</t>
        </is>
      </c>
    </row>
    <row r="252">
      <c r="A252" t="inlineStr">
        <is>
          <t>CON-249</t>
        </is>
      </c>
      <c r="B252" t="inlineStr">
        <is>
          <t>Kerala</t>
        </is>
      </c>
      <c r="C252" t="inlineStr">
        <is>
          <t>Kerala_Dist_249</t>
        </is>
      </c>
      <c r="D252" t="inlineStr">
        <is>
          <t>General</t>
        </is>
      </c>
      <c r="E252" t="n">
        <v>1654</v>
      </c>
      <c r="F252" t="n">
        <v>2803</v>
      </c>
      <c r="G252" t="n">
        <v>55.3</v>
      </c>
      <c r="H252" t="n">
        <v>1</v>
      </c>
      <c r="I252" t="n">
        <v>2200</v>
      </c>
      <c r="J252" t="n">
        <v>1.27</v>
      </c>
      <c r="K252" t="n">
        <v>27</v>
      </c>
      <c r="L252" t="inlineStr">
        <is>
          <t>Under-represented</t>
        </is>
      </c>
    </row>
    <row r="253">
      <c r="A253" t="inlineStr">
        <is>
          <t>CON-250</t>
        </is>
      </c>
      <c r="B253" t="inlineStr">
        <is>
          <t>Karnataka</t>
        </is>
      </c>
      <c r="C253" t="inlineStr">
        <is>
          <t>Karnataka_Dist_250</t>
        </is>
      </c>
      <c r="D253" t="inlineStr">
        <is>
          <t>General</t>
        </is>
      </c>
      <c r="E253" t="n">
        <v>2174</v>
      </c>
      <c r="F253" t="n">
        <v>3137</v>
      </c>
      <c r="G253" t="n">
        <v>70.8</v>
      </c>
      <c r="H253" t="n">
        <v>1</v>
      </c>
      <c r="I253" t="n">
        <v>2200</v>
      </c>
      <c r="J253" t="n">
        <v>1.43</v>
      </c>
      <c r="K253" t="n">
        <v>43</v>
      </c>
      <c r="L253" t="inlineStr">
        <is>
          <t>Under-represented</t>
        </is>
      </c>
    </row>
    <row r="254">
      <c r="A254" t="inlineStr">
        <is>
          <t>CON-251</t>
        </is>
      </c>
      <c r="B254" t="inlineStr">
        <is>
          <t>Telangana</t>
        </is>
      </c>
      <c r="C254" t="inlineStr">
        <is>
          <t>Telangana_Dist_251</t>
        </is>
      </c>
      <c r="D254" t="inlineStr">
        <is>
          <t>SC</t>
        </is>
      </c>
      <c r="E254" t="n">
        <v>2116</v>
      </c>
      <c r="F254" t="n">
        <v>2916</v>
      </c>
      <c r="G254" t="n">
        <v>67.33</v>
      </c>
      <c r="H254" t="n">
        <v>1</v>
      </c>
      <c r="I254" t="n">
        <v>2200</v>
      </c>
      <c r="J254" t="n">
        <v>1.33</v>
      </c>
      <c r="K254" t="n">
        <v>33</v>
      </c>
      <c r="L254" t="inlineStr">
        <is>
          <t>Under-represented</t>
        </is>
      </c>
    </row>
    <row r="255">
      <c r="A255" t="inlineStr">
        <is>
          <t>CON-252</t>
        </is>
      </c>
      <c r="B255" t="inlineStr">
        <is>
          <t>Andhra Pradesh</t>
        </is>
      </c>
      <c r="C255" t="inlineStr">
        <is>
          <t>Andhra_Dist_252</t>
        </is>
      </c>
      <c r="D255" t="inlineStr">
        <is>
          <t>ST</t>
        </is>
      </c>
      <c r="E255" t="n">
        <v>3789</v>
      </c>
      <c r="F255" t="n">
        <v>6339</v>
      </c>
      <c r="G255" t="n">
        <v>66.12</v>
      </c>
      <c r="H255" t="n">
        <v>1</v>
      </c>
      <c r="I255" t="n">
        <v>2200</v>
      </c>
      <c r="J255" t="n">
        <v>2.88</v>
      </c>
      <c r="K255" t="n">
        <v>188</v>
      </c>
      <c r="L255" t="inlineStr">
        <is>
          <t>Under-represented</t>
        </is>
      </c>
    </row>
    <row r="256">
      <c r="A256" t="inlineStr">
        <is>
          <t>CON-253</t>
        </is>
      </c>
      <c r="B256" t="inlineStr">
        <is>
          <t>Andhra Pradesh</t>
        </is>
      </c>
      <c r="C256" t="inlineStr">
        <is>
          <t>Andhra_Dist_253</t>
        </is>
      </c>
      <c r="D256" t="inlineStr">
        <is>
          <t>General</t>
        </is>
      </c>
      <c r="E256" t="n">
        <v>3535</v>
      </c>
      <c r="F256" t="n">
        <v>4949</v>
      </c>
      <c r="G256" t="n">
        <v>69.77</v>
      </c>
      <c r="H256" t="n">
        <v>1</v>
      </c>
      <c r="I256" t="n">
        <v>2200</v>
      </c>
      <c r="J256" t="n">
        <v>2.25</v>
      </c>
      <c r="K256" t="n">
        <v>125</v>
      </c>
      <c r="L256" t="inlineStr">
        <is>
          <t>Under-represented</t>
        </is>
      </c>
    </row>
    <row r="257">
      <c r="A257" t="inlineStr">
        <is>
          <t>CON-254</t>
        </is>
      </c>
      <c r="B257" t="inlineStr">
        <is>
          <t>Karnataka</t>
        </is>
      </c>
      <c r="C257" t="inlineStr">
        <is>
          <t>Karnataka_Dist_254</t>
        </is>
      </c>
      <c r="D257" t="inlineStr">
        <is>
          <t>General</t>
        </is>
      </c>
      <c r="E257" t="n">
        <v>2152</v>
      </c>
      <c r="F257" t="n">
        <v>3059</v>
      </c>
      <c r="G257" t="n">
        <v>83.27</v>
      </c>
      <c r="H257" t="n">
        <v>1</v>
      </c>
      <c r="I257" t="n">
        <v>2200</v>
      </c>
      <c r="J257" t="n">
        <v>1.39</v>
      </c>
      <c r="K257" t="n">
        <v>39</v>
      </c>
      <c r="L257" t="inlineStr">
        <is>
          <t>Under-represented</t>
        </is>
      </c>
    </row>
    <row r="258">
      <c r="A258" t="inlineStr">
        <is>
          <t>CON-255</t>
        </is>
      </c>
      <c r="B258" t="inlineStr">
        <is>
          <t>Karnataka</t>
        </is>
      </c>
      <c r="C258" t="inlineStr">
        <is>
          <t>Karnataka_Dist_255</t>
        </is>
      </c>
      <c r="D258" t="inlineStr">
        <is>
          <t>General</t>
        </is>
      </c>
      <c r="E258" t="n">
        <v>3205</v>
      </c>
      <c r="F258" t="n">
        <v>4451</v>
      </c>
      <c r="G258" t="n">
        <v>69.53</v>
      </c>
      <c r="H258" t="n">
        <v>1</v>
      </c>
      <c r="I258" t="n">
        <v>2200</v>
      </c>
      <c r="J258" t="n">
        <v>2.02</v>
      </c>
      <c r="K258" t="n">
        <v>102</v>
      </c>
      <c r="L258" t="inlineStr">
        <is>
          <t>Under-represented</t>
        </is>
      </c>
    </row>
    <row r="259">
      <c r="A259" t="inlineStr">
        <is>
          <t>CON-256</t>
        </is>
      </c>
      <c r="B259" t="inlineStr">
        <is>
          <t>Karnataka</t>
        </is>
      </c>
      <c r="C259" t="inlineStr">
        <is>
          <t>Karnataka_Dist_256</t>
        </is>
      </c>
      <c r="D259" t="inlineStr">
        <is>
          <t>General</t>
        </is>
      </c>
      <c r="E259" t="n">
        <v>1381</v>
      </c>
      <c r="F259" t="n">
        <v>1776</v>
      </c>
      <c r="G259" t="n">
        <v>83.06</v>
      </c>
      <c r="H259" t="n">
        <v>1</v>
      </c>
      <c r="I259" t="n">
        <v>2200</v>
      </c>
      <c r="J259" t="n">
        <v>0.8100000000000001</v>
      </c>
      <c r="K259" t="n">
        <v>19</v>
      </c>
      <c r="L259" t="inlineStr">
        <is>
          <t>Balanced</t>
        </is>
      </c>
    </row>
    <row r="260">
      <c r="A260" t="inlineStr">
        <is>
          <t>CON-257</t>
        </is>
      </c>
      <c r="B260" t="inlineStr">
        <is>
          <t>West Bengal</t>
        </is>
      </c>
      <c r="C260" t="inlineStr">
        <is>
          <t>West_Dist_257</t>
        </is>
      </c>
      <c r="D260" t="inlineStr">
        <is>
          <t>General</t>
        </is>
      </c>
      <c r="E260" t="n">
        <v>3029</v>
      </c>
      <c r="F260" t="n">
        <v>3871</v>
      </c>
      <c r="G260" t="n">
        <v>71.18000000000001</v>
      </c>
      <c r="H260" t="n">
        <v>1</v>
      </c>
      <c r="I260" t="n">
        <v>2200</v>
      </c>
      <c r="J260" t="n">
        <v>1.76</v>
      </c>
      <c r="K260" t="n">
        <v>76</v>
      </c>
      <c r="L260" t="inlineStr">
        <is>
          <t>Under-represented</t>
        </is>
      </c>
    </row>
    <row r="261">
      <c r="A261" t="inlineStr">
        <is>
          <t>CON-258</t>
        </is>
      </c>
      <c r="B261" t="inlineStr">
        <is>
          <t>Tamil Nadu</t>
        </is>
      </c>
      <c r="C261" t="inlineStr">
        <is>
          <t>Tamil_Dist_258</t>
        </is>
      </c>
      <c r="D261" t="inlineStr">
        <is>
          <t>General</t>
        </is>
      </c>
      <c r="E261" t="n">
        <v>2067</v>
      </c>
      <c r="F261" t="n">
        <v>3372</v>
      </c>
      <c r="G261" t="n">
        <v>71.69</v>
      </c>
      <c r="H261" t="n">
        <v>1</v>
      </c>
      <c r="I261" t="n">
        <v>2200</v>
      </c>
      <c r="J261" t="n">
        <v>1.53</v>
      </c>
      <c r="K261" t="n">
        <v>53</v>
      </c>
      <c r="L261" t="inlineStr">
        <is>
          <t>Under-represented</t>
        </is>
      </c>
    </row>
    <row r="262">
      <c r="A262" t="inlineStr">
        <is>
          <t>CON-259</t>
        </is>
      </c>
      <c r="B262" t="inlineStr">
        <is>
          <t>Telangana</t>
        </is>
      </c>
      <c r="C262" t="inlineStr">
        <is>
          <t>Telangana_Dist_259</t>
        </is>
      </c>
      <c r="D262" t="inlineStr">
        <is>
          <t>SC</t>
        </is>
      </c>
      <c r="E262" t="n">
        <v>2501</v>
      </c>
      <c r="F262" t="n">
        <v>3671</v>
      </c>
      <c r="G262" t="n">
        <v>75.25</v>
      </c>
      <c r="H262" t="n">
        <v>1</v>
      </c>
      <c r="I262" t="n">
        <v>2200</v>
      </c>
      <c r="J262" t="n">
        <v>1.67</v>
      </c>
      <c r="K262" t="n">
        <v>67</v>
      </c>
      <c r="L262" t="inlineStr">
        <is>
          <t>Under-represented</t>
        </is>
      </c>
    </row>
    <row r="263">
      <c r="A263" t="inlineStr">
        <is>
          <t>CON-260</t>
        </is>
      </c>
      <c r="B263" t="inlineStr">
        <is>
          <t>Uttar Pradesh</t>
        </is>
      </c>
      <c r="C263" t="inlineStr">
        <is>
          <t>Uttar_Dist_260</t>
        </is>
      </c>
      <c r="D263" t="inlineStr">
        <is>
          <t>General</t>
        </is>
      </c>
      <c r="E263" t="n">
        <v>1586</v>
      </c>
      <c r="F263" t="n">
        <v>2051</v>
      </c>
      <c r="G263" t="n">
        <v>61.73</v>
      </c>
      <c r="H263" t="n">
        <v>1</v>
      </c>
      <c r="I263" t="n">
        <v>2200</v>
      </c>
      <c r="J263" t="n">
        <v>0.93</v>
      </c>
      <c r="K263" t="n">
        <v>7</v>
      </c>
      <c r="L263" t="inlineStr">
        <is>
          <t>Balanced</t>
        </is>
      </c>
    </row>
    <row r="264">
      <c r="A264" t="inlineStr">
        <is>
          <t>CON-261</t>
        </is>
      </c>
      <c r="B264" t="inlineStr">
        <is>
          <t>Gujarat</t>
        </is>
      </c>
      <c r="C264" t="inlineStr">
        <is>
          <t>Gujarat_Dist_261</t>
        </is>
      </c>
      <c r="D264" t="inlineStr">
        <is>
          <t>General</t>
        </is>
      </c>
      <c r="E264" t="n">
        <v>1700</v>
      </c>
      <c r="F264" t="n">
        <v>2804</v>
      </c>
      <c r="G264" t="n">
        <v>78.90000000000001</v>
      </c>
      <c r="H264" t="n">
        <v>1</v>
      </c>
      <c r="I264" t="n">
        <v>2200</v>
      </c>
      <c r="J264" t="n">
        <v>1.27</v>
      </c>
      <c r="K264" t="n">
        <v>27</v>
      </c>
      <c r="L264" t="inlineStr">
        <is>
          <t>Under-represented</t>
        </is>
      </c>
    </row>
    <row r="265">
      <c r="A265" t="inlineStr">
        <is>
          <t>CON-262</t>
        </is>
      </c>
      <c r="B265" t="inlineStr">
        <is>
          <t>Andhra Pradesh</t>
        </is>
      </c>
      <c r="C265" t="inlineStr">
        <is>
          <t>Andhra_Dist_262</t>
        </is>
      </c>
      <c r="D265" t="inlineStr">
        <is>
          <t>General</t>
        </is>
      </c>
      <c r="E265" t="n">
        <v>2582</v>
      </c>
      <c r="F265" t="n">
        <v>4044</v>
      </c>
      <c r="G265" t="n">
        <v>66.95999999999999</v>
      </c>
      <c r="H265" t="n">
        <v>1</v>
      </c>
      <c r="I265" t="n">
        <v>2200</v>
      </c>
      <c r="J265" t="n">
        <v>1.84</v>
      </c>
      <c r="K265" t="n">
        <v>84</v>
      </c>
      <c r="L265" t="inlineStr">
        <is>
          <t>Under-represented</t>
        </is>
      </c>
    </row>
    <row r="266">
      <c r="A266" t="inlineStr">
        <is>
          <t>CON-263</t>
        </is>
      </c>
      <c r="B266" t="inlineStr">
        <is>
          <t>Uttar Pradesh</t>
        </is>
      </c>
      <c r="C266" t="inlineStr">
        <is>
          <t>Uttar_Dist_263</t>
        </is>
      </c>
      <c r="D266" t="inlineStr">
        <is>
          <t>ST</t>
        </is>
      </c>
      <c r="E266" t="n">
        <v>2946</v>
      </c>
      <c r="F266" t="n">
        <v>4657</v>
      </c>
      <c r="G266" t="n">
        <v>64.18000000000001</v>
      </c>
      <c r="H266" t="n">
        <v>1</v>
      </c>
      <c r="I266" t="n">
        <v>2200</v>
      </c>
      <c r="J266" t="n">
        <v>2.12</v>
      </c>
      <c r="K266" t="n">
        <v>112</v>
      </c>
      <c r="L266" t="inlineStr">
        <is>
          <t>Under-represented</t>
        </is>
      </c>
    </row>
    <row r="267">
      <c r="A267" t="inlineStr">
        <is>
          <t>CON-264</t>
        </is>
      </c>
      <c r="B267" t="inlineStr">
        <is>
          <t>Gujarat</t>
        </is>
      </c>
      <c r="C267" t="inlineStr">
        <is>
          <t>Gujarat_Dist_264</t>
        </is>
      </c>
      <c r="D267" t="inlineStr">
        <is>
          <t>General</t>
        </is>
      </c>
      <c r="E267" t="n">
        <v>3393</v>
      </c>
      <c r="F267" t="n">
        <v>4378</v>
      </c>
      <c r="G267" t="n">
        <v>65.87</v>
      </c>
      <c r="H267" t="n">
        <v>1</v>
      </c>
      <c r="I267" t="n">
        <v>2200</v>
      </c>
      <c r="J267" t="n">
        <v>1.99</v>
      </c>
      <c r="K267" t="n">
        <v>99</v>
      </c>
      <c r="L267" t="inlineStr">
        <is>
          <t>Under-represented</t>
        </is>
      </c>
    </row>
    <row r="268">
      <c r="A268" t="inlineStr">
        <is>
          <t>CON-265</t>
        </is>
      </c>
      <c r="B268" t="inlineStr">
        <is>
          <t>Kerala</t>
        </is>
      </c>
      <c r="C268" t="inlineStr">
        <is>
          <t>Kerala_Dist_265</t>
        </is>
      </c>
      <c r="D268" t="inlineStr">
        <is>
          <t>General</t>
        </is>
      </c>
      <c r="E268" t="n">
        <v>1287</v>
      </c>
      <c r="F268" t="n">
        <v>1864</v>
      </c>
      <c r="G268" t="n">
        <v>76.01000000000001</v>
      </c>
      <c r="H268" t="n">
        <v>1</v>
      </c>
      <c r="I268" t="n">
        <v>2200</v>
      </c>
      <c r="J268" t="n">
        <v>0.85</v>
      </c>
      <c r="K268" t="n">
        <v>15</v>
      </c>
      <c r="L268" t="inlineStr">
        <is>
          <t>Balanced</t>
        </is>
      </c>
    </row>
    <row r="269">
      <c r="A269" t="inlineStr">
        <is>
          <t>CON-266</t>
        </is>
      </c>
      <c r="B269" t="inlineStr">
        <is>
          <t>Tamil Nadu</t>
        </is>
      </c>
      <c r="C269" t="inlineStr">
        <is>
          <t>Tamil_Dist_266</t>
        </is>
      </c>
      <c r="D269" t="inlineStr">
        <is>
          <t>General</t>
        </is>
      </c>
      <c r="E269" t="n">
        <v>3425</v>
      </c>
      <c r="F269" t="n">
        <v>5883</v>
      </c>
      <c r="G269" t="n">
        <v>72.68000000000001</v>
      </c>
      <c r="H269" t="n">
        <v>1</v>
      </c>
      <c r="I269" t="n">
        <v>2200</v>
      </c>
      <c r="J269" t="n">
        <v>2.67</v>
      </c>
      <c r="K269" t="n">
        <v>167</v>
      </c>
      <c r="L269" t="inlineStr">
        <is>
          <t>Under-represented</t>
        </is>
      </c>
    </row>
    <row r="270">
      <c r="A270" t="inlineStr">
        <is>
          <t>CON-267</t>
        </is>
      </c>
      <c r="B270" t="inlineStr">
        <is>
          <t>West Bengal</t>
        </is>
      </c>
      <c r="C270" t="inlineStr">
        <is>
          <t>West_Dist_267</t>
        </is>
      </c>
      <c r="D270" t="inlineStr">
        <is>
          <t>General</t>
        </is>
      </c>
      <c r="E270" t="n">
        <v>1861</v>
      </c>
      <c r="F270" t="n">
        <v>2596</v>
      </c>
      <c r="G270" t="n">
        <v>68.59999999999999</v>
      </c>
      <c r="H270" t="n">
        <v>1</v>
      </c>
      <c r="I270" t="n">
        <v>2200</v>
      </c>
      <c r="J270" t="n">
        <v>1.18</v>
      </c>
      <c r="K270" t="n">
        <v>18</v>
      </c>
      <c r="L270" t="inlineStr">
        <is>
          <t>Balanced</t>
        </is>
      </c>
    </row>
    <row r="271">
      <c r="A271" t="inlineStr">
        <is>
          <t>CON-268</t>
        </is>
      </c>
      <c r="B271" t="inlineStr">
        <is>
          <t>West Bengal</t>
        </is>
      </c>
      <c r="C271" t="inlineStr">
        <is>
          <t>West_Dist_268</t>
        </is>
      </c>
      <c r="D271" t="inlineStr">
        <is>
          <t>SC</t>
        </is>
      </c>
      <c r="E271" t="n">
        <v>2222</v>
      </c>
      <c r="F271" t="n">
        <v>3314</v>
      </c>
      <c r="G271" t="n">
        <v>61.28</v>
      </c>
      <c r="H271" t="n">
        <v>1</v>
      </c>
      <c r="I271" t="n">
        <v>2200</v>
      </c>
      <c r="J271" t="n">
        <v>1.51</v>
      </c>
      <c r="K271" t="n">
        <v>51</v>
      </c>
      <c r="L271" t="inlineStr">
        <is>
          <t>Under-represented</t>
        </is>
      </c>
    </row>
    <row r="272">
      <c r="A272" t="inlineStr">
        <is>
          <t>CON-269</t>
        </is>
      </c>
      <c r="B272" t="inlineStr">
        <is>
          <t>West Bengal</t>
        </is>
      </c>
      <c r="C272" t="inlineStr">
        <is>
          <t>West_Dist_269</t>
        </is>
      </c>
      <c r="D272" t="inlineStr">
        <is>
          <t>SC</t>
        </is>
      </c>
      <c r="E272" t="n">
        <v>2787</v>
      </c>
      <c r="F272" t="n">
        <v>4859</v>
      </c>
      <c r="G272" t="n">
        <v>56.88</v>
      </c>
      <c r="H272" t="n">
        <v>1</v>
      </c>
      <c r="I272" t="n">
        <v>2200</v>
      </c>
      <c r="J272" t="n">
        <v>2.21</v>
      </c>
      <c r="K272" t="n">
        <v>121</v>
      </c>
      <c r="L272" t="inlineStr">
        <is>
          <t>Under-represented</t>
        </is>
      </c>
    </row>
    <row r="273">
      <c r="A273" t="inlineStr">
        <is>
          <t>CON-270</t>
        </is>
      </c>
      <c r="B273" t="inlineStr">
        <is>
          <t>Bihar</t>
        </is>
      </c>
      <c r="C273" t="inlineStr">
        <is>
          <t>Bihar_Dist_270</t>
        </is>
      </c>
      <c r="D273" t="inlineStr">
        <is>
          <t>General</t>
        </is>
      </c>
      <c r="E273" t="n">
        <v>3562</v>
      </c>
      <c r="F273" t="n">
        <v>6046</v>
      </c>
      <c r="G273" t="n">
        <v>77.41</v>
      </c>
      <c r="H273" t="n">
        <v>1</v>
      </c>
      <c r="I273" t="n">
        <v>2200</v>
      </c>
      <c r="J273" t="n">
        <v>2.75</v>
      </c>
      <c r="K273" t="n">
        <v>175</v>
      </c>
      <c r="L273" t="inlineStr">
        <is>
          <t>Under-represented</t>
        </is>
      </c>
    </row>
    <row r="274">
      <c r="A274" t="inlineStr">
        <is>
          <t>CON-271</t>
        </is>
      </c>
      <c r="B274" t="inlineStr">
        <is>
          <t>Uttar Pradesh</t>
        </is>
      </c>
      <c r="C274" t="inlineStr">
        <is>
          <t>Uttar_Dist_271</t>
        </is>
      </c>
      <c r="D274" t="inlineStr">
        <is>
          <t>General</t>
        </is>
      </c>
      <c r="E274" t="n">
        <v>1308</v>
      </c>
      <c r="F274" t="n">
        <v>1668</v>
      </c>
      <c r="G274" t="n">
        <v>81.11</v>
      </c>
      <c r="H274" t="n">
        <v>1</v>
      </c>
      <c r="I274" t="n">
        <v>2200</v>
      </c>
      <c r="J274" t="n">
        <v>0.76</v>
      </c>
      <c r="K274" t="n">
        <v>24</v>
      </c>
      <c r="L274" t="inlineStr">
        <is>
          <t>Over-represented</t>
        </is>
      </c>
    </row>
    <row r="275">
      <c r="A275" t="inlineStr">
        <is>
          <t>CON-272</t>
        </is>
      </c>
      <c r="B275" t="inlineStr">
        <is>
          <t>Bihar</t>
        </is>
      </c>
      <c r="C275" t="inlineStr">
        <is>
          <t>Bihar_Dist_272</t>
        </is>
      </c>
      <c r="D275" t="inlineStr">
        <is>
          <t>General</t>
        </is>
      </c>
      <c r="E275" t="n">
        <v>3530</v>
      </c>
      <c r="F275" t="n">
        <v>4818</v>
      </c>
      <c r="G275" t="n">
        <v>82.56</v>
      </c>
      <c r="H275" t="n">
        <v>1</v>
      </c>
      <c r="I275" t="n">
        <v>2200</v>
      </c>
      <c r="J275" t="n">
        <v>2.19</v>
      </c>
      <c r="K275" t="n">
        <v>119</v>
      </c>
      <c r="L275" t="inlineStr">
        <is>
          <t>Under-represented</t>
        </is>
      </c>
    </row>
    <row r="276">
      <c r="A276" t="inlineStr">
        <is>
          <t>CON-273</t>
        </is>
      </c>
      <c r="B276" t="inlineStr">
        <is>
          <t>Telangana</t>
        </is>
      </c>
      <c r="C276" t="inlineStr">
        <is>
          <t>Telangana_Dist_273</t>
        </is>
      </c>
      <c r="D276" t="inlineStr">
        <is>
          <t>General</t>
        </is>
      </c>
      <c r="E276" t="n">
        <v>1595</v>
      </c>
      <c r="F276" t="n">
        <v>2200</v>
      </c>
      <c r="G276" t="n">
        <v>78.34999999999999</v>
      </c>
      <c r="H276" t="n">
        <v>1</v>
      </c>
      <c r="I276" t="n">
        <v>2200</v>
      </c>
      <c r="J276" t="n">
        <v>1</v>
      </c>
      <c r="K276" t="n">
        <v>0</v>
      </c>
      <c r="L276" t="inlineStr">
        <is>
          <t>Balanced</t>
        </is>
      </c>
    </row>
    <row r="277">
      <c r="A277" t="inlineStr">
        <is>
          <t>CON-274</t>
        </is>
      </c>
      <c r="B277" t="inlineStr">
        <is>
          <t>Telangana</t>
        </is>
      </c>
      <c r="C277" t="inlineStr">
        <is>
          <t>Telangana_Dist_274</t>
        </is>
      </c>
      <c r="D277" t="inlineStr">
        <is>
          <t>ST</t>
        </is>
      </c>
      <c r="E277" t="n">
        <v>2133</v>
      </c>
      <c r="F277" t="n">
        <v>3084</v>
      </c>
      <c r="G277" t="n">
        <v>65.34</v>
      </c>
      <c r="H277" t="n">
        <v>1</v>
      </c>
      <c r="I277" t="n">
        <v>2200</v>
      </c>
      <c r="J277" t="n">
        <v>1.4</v>
      </c>
      <c r="K277" t="n">
        <v>40</v>
      </c>
      <c r="L277" t="inlineStr">
        <is>
          <t>Under-represented</t>
        </is>
      </c>
    </row>
    <row r="278">
      <c r="A278" t="inlineStr">
        <is>
          <t>CON-275</t>
        </is>
      </c>
      <c r="B278" t="inlineStr">
        <is>
          <t>Gujarat</t>
        </is>
      </c>
      <c r="C278" t="inlineStr">
        <is>
          <t>Gujarat_Dist_275</t>
        </is>
      </c>
      <c r="D278" t="inlineStr">
        <is>
          <t>General</t>
        </is>
      </c>
      <c r="E278" t="n">
        <v>2969</v>
      </c>
      <c r="F278" t="n">
        <v>3858</v>
      </c>
      <c r="G278" t="n">
        <v>54.05</v>
      </c>
      <c r="H278" t="n">
        <v>1</v>
      </c>
      <c r="I278" t="n">
        <v>2200</v>
      </c>
      <c r="J278" t="n">
        <v>1.75</v>
      </c>
      <c r="K278" t="n">
        <v>75</v>
      </c>
      <c r="L278" t="inlineStr">
        <is>
          <t>Under-represented</t>
        </is>
      </c>
    </row>
    <row r="279">
      <c r="A279" t="inlineStr">
        <is>
          <t>CON-276</t>
        </is>
      </c>
      <c r="B279" t="inlineStr">
        <is>
          <t>Maharashtra</t>
        </is>
      </c>
      <c r="C279" t="inlineStr">
        <is>
          <t>Maharashtra_Dist_276</t>
        </is>
      </c>
      <c r="D279" t="inlineStr">
        <is>
          <t>General</t>
        </is>
      </c>
      <c r="E279" t="n">
        <v>1987</v>
      </c>
      <c r="F279" t="n">
        <v>3295</v>
      </c>
      <c r="G279" t="n">
        <v>64.52</v>
      </c>
      <c r="H279" t="n">
        <v>1</v>
      </c>
      <c r="I279" t="n">
        <v>2200</v>
      </c>
      <c r="J279" t="n">
        <v>1.5</v>
      </c>
      <c r="K279" t="n">
        <v>50</v>
      </c>
      <c r="L279" t="inlineStr">
        <is>
          <t>Under-represented</t>
        </is>
      </c>
    </row>
    <row r="280">
      <c r="A280" t="inlineStr">
        <is>
          <t>CON-277</t>
        </is>
      </c>
      <c r="B280" t="inlineStr">
        <is>
          <t>Maharashtra</t>
        </is>
      </c>
      <c r="C280" t="inlineStr">
        <is>
          <t>Maharashtra_Dist_277</t>
        </is>
      </c>
      <c r="D280" t="inlineStr">
        <is>
          <t>General</t>
        </is>
      </c>
      <c r="E280" t="n">
        <v>2155</v>
      </c>
      <c r="F280" t="n">
        <v>3684</v>
      </c>
      <c r="G280" t="n">
        <v>72.65000000000001</v>
      </c>
      <c r="H280" t="n">
        <v>1</v>
      </c>
      <c r="I280" t="n">
        <v>2200</v>
      </c>
      <c r="J280" t="n">
        <v>1.67</v>
      </c>
      <c r="K280" t="n">
        <v>67</v>
      </c>
      <c r="L280" t="inlineStr">
        <is>
          <t>Under-represented</t>
        </is>
      </c>
    </row>
    <row r="281">
      <c r="A281" t="inlineStr">
        <is>
          <t>CON-278</t>
        </is>
      </c>
      <c r="B281" t="inlineStr">
        <is>
          <t>Uttar Pradesh</t>
        </is>
      </c>
      <c r="C281" t="inlineStr">
        <is>
          <t>Uttar_Dist_278</t>
        </is>
      </c>
      <c r="D281" t="inlineStr">
        <is>
          <t>SC</t>
        </is>
      </c>
      <c r="E281" t="n">
        <v>1739</v>
      </c>
      <c r="F281" t="n">
        <v>2996</v>
      </c>
      <c r="G281" t="n">
        <v>79.45999999999999</v>
      </c>
      <c r="H281" t="n">
        <v>1</v>
      </c>
      <c r="I281" t="n">
        <v>2200</v>
      </c>
      <c r="J281" t="n">
        <v>1.36</v>
      </c>
      <c r="K281" t="n">
        <v>36</v>
      </c>
      <c r="L281" t="inlineStr">
        <is>
          <t>Under-represented</t>
        </is>
      </c>
    </row>
    <row r="282">
      <c r="A282" t="inlineStr">
        <is>
          <t>CON-279</t>
        </is>
      </c>
      <c r="B282" t="inlineStr">
        <is>
          <t>Telangana</t>
        </is>
      </c>
      <c r="C282" t="inlineStr">
        <is>
          <t>Telangana_Dist_279</t>
        </is>
      </c>
      <c r="D282" t="inlineStr">
        <is>
          <t>General</t>
        </is>
      </c>
      <c r="E282" t="n">
        <v>1665</v>
      </c>
      <c r="F282" t="n">
        <v>2813</v>
      </c>
      <c r="G282" t="n">
        <v>68.01000000000001</v>
      </c>
      <c r="H282" t="n">
        <v>1</v>
      </c>
      <c r="I282" t="n">
        <v>2200</v>
      </c>
      <c r="J282" t="n">
        <v>1.28</v>
      </c>
      <c r="K282" t="n">
        <v>28</v>
      </c>
      <c r="L282" t="inlineStr">
        <is>
          <t>Under-represented</t>
        </is>
      </c>
    </row>
    <row r="283">
      <c r="A283" t="inlineStr">
        <is>
          <t>CON-280</t>
        </is>
      </c>
      <c r="B283" t="inlineStr">
        <is>
          <t>Karnataka</t>
        </is>
      </c>
      <c r="C283" t="inlineStr">
        <is>
          <t>Karnataka_Dist_280</t>
        </is>
      </c>
      <c r="D283" t="inlineStr">
        <is>
          <t>General</t>
        </is>
      </c>
      <c r="E283" t="n">
        <v>2203</v>
      </c>
      <c r="F283" t="n">
        <v>3381</v>
      </c>
      <c r="G283" t="n">
        <v>78.22</v>
      </c>
      <c r="H283" t="n">
        <v>1</v>
      </c>
      <c r="I283" t="n">
        <v>2200</v>
      </c>
      <c r="J283" t="n">
        <v>1.54</v>
      </c>
      <c r="K283" t="n">
        <v>54</v>
      </c>
      <c r="L283" t="inlineStr">
        <is>
          <t>Under-represented</t>
        </is>
      </c>
    </row>
    <row r="284">
      <c r="A284" t="inlineStr">
        <is>
          <t>CON-281</t>
        </is>
      </c>
      <c r="B284" t="inlineStr">
        <is>
          <t>Gujarat</t>
        </is>
      </c>
      <c r="C284" t="inlineStr">
        <is>
          <t>Gujarat_Dist_281</t>
        </is>
      </c>
      <c r="D284" t="inlineStr">
        <is>
          <t>General</t>
        </is>
      </c>
      <c r="E284" t="n">
        <v>3259</v>
      </c>
      <c r="F284" t="n">
        <v>5444</v>
      </c>
      <c r="G284" t="n">
        <v>74.34999999999999</v>
      </c>
      <c r="H284" t="n">
        <v>1</v>
      </c>
      <c r="I284" t="n">
        <v>2200</v>
      </c>
      <c r="J284" t="n">
        <v>2.47</v>
      </c>
      <c r="K284" t="n">
        <v>147</v>
      </c>
      <c r="L284" t="inlineStr">
        <is>
          <t>Under-represented</t>
        </is>
      </c>
    </row>
    <row r="285">
      <c r="A285" t="inlineStr">
        <is>
          <t>CON-282</t>
        </is>
      </c>
      <c r="B285" t="inlineStr">
        <is>
          <t>Gujarat</t>
        </is>
      </c>
      <c r="C285" t="inlineStr">
        <is>
          <t>Gujarat_Dist_282</t>
        </is>
      </c>
      <c r="D285" t="inlineStr">
        <is>
          <t>General</t>
        </is>
      </c>
      <c r="E285" t="n">
        <v>3371</v>
      </c>
      <c r="F285" t="n">
        <v>4972</v>
      </c>
      <c r="G285" t="n">
        <v>80.45</v>
      </c>
      <c r="H285" t="n">
        <v>1</v>
      </c>
      <c r="I285" t="n">
        <v>2200</v>
      </c>
      <c r="J285" t="n">
        <v>2.26</v>
      </c>
      <c r="K285" t="n">
        <v>126</v>
      </c>
      <c r="L285" t="inlineStr">
        <is>
          <t>Under-represented</t>
        </is>
      </c>
    </row>
    <row r="286">
      <c r="A286" t="inlineStr">
        <is>
          <t>CON-283</t>
        </is>
      </c>
      <c r="B286" t="inlineStr">
        <is>
          <t>Karnataka</t>
        </is>
      </c>
      <c r="C286" t="inlineStr">
        <is>
          <t>Karnataka_Dist_283</t>
        </is>
      </c>
      <c r="D286" t="inlineStr">
        <is>
          <t>General</t>
        </is>
      </c>
      <c r="E286" t="n">
        <v>2718</v>
      </c>
      <c r="F286" t="n">
        <v>3675</v>
      </c>
      <c r="G286" t="n">
        <v>60.89</v>
      </c>
      <c r="H286" t="n">
        <v>1</v>
      </c>
      <c r="I286" t="n">
        <v>2200</v>
      </c>
      <c r="J286" t="n">
        <v>1.67</v>
      </c>
      <c r="K286" t="n">
        <v>67</v>
      </c>
      <c r="L286" t="inlineStr">
        <is>
          <t>Under-represented</t>
        </is>
      </c>
    </row>
    <row r="287">
      <c r="A287" t="inlineStr">
        <is>
          <t>CON-284</t>
        </is>
      </c>
      <c r="B287" t="inlineStr">
        <is>
          <t>Tamil Nadu</t>
        </is>
      </c>
      <c r="C287" t="inlineStr">
        <is>
          <t>Tamil_Dist_284</t>
        </is>
      </c>
      <c r="D287" t="inlineStr">
        <is>
          <t>General</t>
        </is>
      </c>
      <c r="E287" t="n">
        <v>1379</v>
      </c>
      <c r="F287" t="n">
        <v>1812</v>
      </c>
      <c r="G287" t="n">
        <v>78.12</v>
      </c>
      <c r="H287" t="n">
        <v>1</v>
      </c>
      <c r="I287" t="n">
        <v>2200</v>
      </c>
      <c r="J287" t="n">
        <v>0.82</v>
      </c>
      <c r="K287" t="n">
        <v>18</v>
      </c>
      <c r="L287" t="inlineStr">
        <is>
          <t>Balanced</t>
        </is>
      </c>
    </row>
    <row r="288">
      <c r="A288" t="inlineStr">
        <is>
          <t>CON-285</t>
        </is>
      </c>
      <c r="B288" t="inlineStr">
        <is>
          <t>Bihar</t>
        </is>
      </c>
      <c r="C288" t="inlineStr">
        <is>
          <t>Bihar_Dist_285</t>
        </is>
      </c>
      <c r="D288" t="inlineStr">
        <is>
          <t>General</t>
        </is>
      </c>
      <c r="E288" t="n">
        <v>2334</v>
      </c>
      <c r="F288" t="n">
        <v>3895</v>
      </c>
      <c r="G288" t="n">
        <v>54.97</v>
      </c>
      <c r="H288" t="n">
        <v>1</v>
      </c>
      <c r="I288" t="n">
        <v>2200</v>
      </c>
      <c r="J288" t="n">
        <v>1.77</v>
      </c>
      <c r="K288" t="n">
        <v>77</v>
      </c>
      <c r="L288" t="inlineStr">
        <is>
          <t>Under-represented</t>
        </is>
      </c>
    </row>
    <row r="289">
      <c r="A289" t="inlineStr">
        <is>
          <t>CON-286</t>
        </is>
      </c>
      <c r="B289" t="inlineStr">
        <is>
          <t>Telangana</t>
        </is>
      </c>
      <c r="C289" t="inlineStr">
        <is>
          <t>Telangana_Dist_286</t>
        </is>
      </c>
      <c r="D289" t="inlineStr">
        <is>
          <t>General</t>
        </is>
      </c>
      <c r="E289" t="n">
        <v>2985</v>
      </c>
      <c r="F289" t="n">
        <v>4106</v>
      </c>
      <c r="G289" t="n">
        <v>59.84</v>
      </c>
      <c r="H289" t="n">
        <v>1</v>
      </c>
      <c r="I289" t="n">
        <v>2200</v>
      </c>
      <c r="J289" t="n">
        <v>1.87</v>
      </c>
      <c r="K289" t="n">
        <v>87</v>
      </c>
      <c r="L289" t="inlineStr">
        <is>
          <t>Under-represented</t>
        </is>
      </c>
    </row>
    <row r="290">
      <c r="A290" t="inlineStr">
        <is>
          <t>CON-287</t>
        </is>
      </c>
      <c r="B290" t="inlineStr">
        <is>
          <t>Kerala</t>
        </is>
      </c>
      <c r="C290" t="inlineStr">
        <is>
          <t>Kerala_Dist_287</t>
        </is>
      </c>
      <c r="D290" t="inlineStr">
        <is>
          <t>SC</t>
        </is>
      </c>
      <c r="E290" t="n">
        <v>1234</v>
      </c>
      <c r="F290" t="n">
        <v>1727</v>
      </c>
      <c r="G290" t="n">
        <v>84.42</v>
      </c>
      <c r="H290" t="n">
        <v>1</v>
      </c>
      <c r="I290" t="n">
        <v>2200</v>
      </c>
      <c r="J290" t="n">
        <v>0.79</v>
      </c>
      <c r="K290" t="n">
        <v>21</v>
      </c>
      <c r="L290" t="inlineStr">
        <is>
          <t>Over-represented</t>
        </is>
      </c>
    </row>
    <row r="291">
      <c r="A291" t="inlineStr">
        <is>
          <t>CON-288</t>
        </is>
      </c>
      <c r="B291" t="inlineStr">
        <is>
          <t>Andhra Pradesh</t>
        </is>
      </c>
      <c r="C291" t="inlineStr">
        <is>
          <t>Andhra_Dist_288</t>
        </is>
      </c>
      <c r="D291" t="inlineStr">
        <is>
          <t>ST</t>
        </is>
      </c>
      <c r="E291" t="n">
        <v>1644</v>
      </c>
      <c r="F291" t="n">
        <v>2303</v>
      </c>
      <c r="G291" t="n">
        <v>78.54000000000001</v>
      </c>
      <c r="H291" t="n">
        <v>1</v>
      </c>
      <c r="I291" t="n">
        <v>2200</v>
      </c>
      <c r="J291" t="n">
        <v>1.05</v>
      </c>
      <c r="K291" t="n">
        <v>5</v>
      </c>
      <c r="L291" t="inlineStr">
        <is>
          <t>Balanced</t>
        </is>
      </c>
    </row>
    <row r="292">
      <c r="A292" t="inlineStr">
        <is>
          <t>CON-289</t>
        </is>
      </c>
      <c r="B292" t="inlineStr">
        <is>
          <t>West Bengal</t>
        </is>
      </c>
      <c r="C292" t="inlineStr">
        <is>
          <t>West_Dist_289</t>
        </is>
      </c>
      <c r="D292" t="inlineStr">
        <is>
          <t>General</t>
        </is>
      </c>
      <c r="E292" t="n">
        <v>2248</v>
      </c>
      <c r="F292" t="n">
        <v>3372</v>
      </c>
      <c r="G292" t="n">
        <v>69.54000000000001</v>
      </c>
      <c r="H292" t="n">
        <v>1</v>
      </c>
      <c r="I292" t="n">
        <v>2200</v>
      </c>
      <c r="J292" t="n">
        <v>1.53</v>
      </c>
      <c r="K292" t="n">
        <v>53</v>
      </c>
      <c r="L292" t="inlineStr">
        <is>
          <t>Under-represented</t>
        </is>
      </c>
    </row>
    <row r="293">
      <c r="A293" t="inlineStr">
        <is>
          <t>CON-290</t>
        </is>
      </c>
      <c r="B293" t="inlineStr">
        <is>
          <t>Kerala</t>
        </is>
      </c>
      <c r="C293" t="inlineStr">
        <is>
          <t>Kerala_Dist_290</t>
        </is>
      </c>
      <c r="D293" t="inlineStr">
        <is>
          <t>General</t>
        </is>
      </c>
      <c r="E293" t="n">
        <v>1675</v>
      </c>
      <c r="F293" t="n">
        <v>2333</v>
      </c>
      <c r="G293" t="n">
        <v>83.22</v>
      </c>
      <c r="H293" t="n">
        <v>1</v>
      </c>
      <c r="I293" t="n">
        <v>2200</v>
      </c>
      <c r="J293" t="n">
        <v>1.06</v>
      </c>
      <c r="K293" t="n">
        <v>6</v>
      </c>
      <c r="L293" t="inlineStr">
        <is>
          <t>Balanced</t>
        </is>
      </c>
    </row>
    <row r="294">
      <c r="A294" t="inlineStr">
        <is>
          <t>CON-291</t>
        </is>
      </c>
      <c r="B294" t="inlineStr">
        <is>
          <t>Andhra Pradesh</t>
        </is>
      </c>
      <c r="C294" t="inlineStr">
        <is>
          <t>Andhra_Dist_291</t>
        </is>
      </c>
      <c r="D294" t="inlineStr">
        <is>
          <t>General</t>
        </is>
      </c>
      <c r="E294" t="n">
        <v>1618</v>
      </c>
      <c r="F294" t="n">
        <v>2309</v>
      </c>
      <c r="G294" t="n">
        <v>54.56</v>
      </c>
      <c r="H294" t="n">
        <v>1</v>
      </c>
      <c r="I294" t="n">
        <v>2200</v>
      </c>
      <c r="J294" t="n">
        <v>1.05</v>
      </c>
      <c r="K294" t="n">
        <v>5</v>
      </c>
      <c r="L294" t="inlineStr">
        <is>
          <t>Balanced</t>
        </is>
      </c>
    </row>
    <row r="295">
      <c r="A295" t="inlineStr">
        <is>
          <t>CON-292</t>
        </is>
      </c>
      <c r="B295" t="inlineStr">
        <is>
          <t>Gujarat</t>
        </is>
      </c>
      <c r="C295" t="inlineStr">
        <is>
          <t>Gujarat_Dist_292</t>
        </is>
      </c>
      <c r="D295" t="inlineStr">
        <is>
          <t>SC</t>
        </is>
      </c>
      <c r="E295" t="n">
        <v>1303</v>
      </c>
      <c r="F295" t="n">
        <v>2209</v>
      </c>
      <c r="G295" t="n">
        <v>82.38</v>
      </c>
      <c r="H295" t="n">
        <v>1</v>
      </c>
      <c r="I295" t="n">
        <v>2200</v>
      </c>
      <c r="J295" t="n">
        <v>1</v>
      </c>
      <c r="K295" t="n">
        <v>0</v>
      </c>
      <c r="L295" t="inlineStr">
        <is>
          <t>Balanced</t>
        </is>
      </c>
    </row>
    <row r="296">
      <c r="A296" t="inlineStr">
        <is>
          <t>CON-293</t>
        </is>
      </c>
      <c r="B296" t="inlineStr">
        <is>
          <t>Telangana</t>
        </is>
      </c>
      <c r="C296" t="inlineStr">
        <is>
          <t>Telangana_Dist_293</t>
        </is>
      </c>
      <c r="D296" t="inlineStr">
        <is>
          <t>General</t>
        </is>
      </c>
      <c r="E296" t="n">
        <v>3786</v>
      </c>
      <c r="F296" t="n">
        <v>6340</v>
      </c>
      <c r="G296" t="n">
        <v>72.05</v>
      </c>
      <c r="H296" t="n">
        <v>1</v>
      </c>
      <c r="I296" t="n">
        <v>2200</v>
      </c>
      <c r="J296" t="n">
        <v>2.88</v>
      </c>
      <c r="K296" t="n">
        <v>188</v>
      </c>
      <c r="L296" t="inlineStr">
        <is>
          <t>Under-represented</t>
        </is>
      </c>
    </row>
    <row r="297">
      <c r="A297" t="inlineStr">
        <is>
          <t>CON-294</t>
        </is>
      </c>
      <c r="B297" t="inlineStr">
        <is>
          <t>Karnataka</t>
        </is>
      </c>
      <c r="C297" t="inlineStr">
        <is>
          <t>Karnataka_Dist_294</t>
        </is>
      </c>
      <c r="D297" t="inlineStr">
        <is>
          <t>General</t>
        </is>
      </c>
      <c r="E297" t="n">
        <v>2382</v>
      </c>
      <c r="F297" t="n">
        <v>3151</v>
      </c>
      <c r="G297" t="n">
        <v>68.03</v>
      </c>
      <c r="H297" t="n">
        <v>1</v>
      </c>
      <c r="I297" t="n">
        <v>2200</v>
      </c>
      <c r="J297" t="n">
        <v>1.43</v>
      </c>
      <c r="K297" t="n">
        <v>43</v>
      </c>
      <c r="L297" t="inlineStr">
        <is>
          <t>Under-represented</t>
        </is>
      </c>
    </row>
    <row r="298">
      <c r="A298" t="inlineStr">
        <is>
          <t>CON-295</t>
        </is>
      </c>
      <c r="B298" t="inlineStr">
        <is>
          <t>Gujarat</t>
        </is>
      </c>
      <c r="C298" t="inlineStr">
        <is>
          <t>Gujarat_Dist_295</t>
        </is>
      </c>
      <c r="D298" t="inlineStr">
        <is>
          <t>General</t>
        </is>
      </c>
      <c r="E298" t="n">
        <v>1369</v>
      </c>
      <c r="F298" t="n">
        <v>2001</v>
      </c>
      <c r="G298" t="n">
        <v>60.46</v>
      </c>
      <c r="H298" t="n">
        <v>1</v>
      </c>
      <c r="I298" t="n">
        <v>2200</v>
      </c>
      <c r="J298" t="n">
        <v>0.91</v>
      </c>
      <c r="K298" t="n">
        <v>9</v>
      </c>
      <c r="L298" t="inlineStr">
        <is>
          <t>Balanced</t>
        </is>
      </c>
    </row>
    <row r="299">
      <c r="A299" t="inlineStr">
        <is>
          <t>CON-296</t>
        </is>
      </c>
      <c r="B299" t="inlineStr">
        <is>
          <t>Uttar Pradesh</t>
        </is>
      </c>
      <c r="C299" t="inlineStr">
        <is>
          <t>Uttar_Dist_296</t>
        </is>
      </c>
      <c r="D299" t="inlineStr">
        <is>
          <t>ST</t>
        </is>
      </c>
      <c r="E299" t="n">
        <v>2633</v>
      </c>
      <c r="F299" t="n">
        <v>3706</v>
      </c>
      <c r="G299" t="n">
        <v>65.84</v>
      </c>
      <c r="H299" t="n">
        <v>1</v>
      </c>
      <c r="I299" t="n">
        <v>2200</v>
      </c>
      <c r="J299" t="n">
        <v>1.68</v>
      </c>
      <c r="K299" t="n">
        <v>68</v>
      </c>
      <c r="L299" t="inlineStr">
        <is>
          <t>Under-represented</t>
        </is>
      </c>
    </row>
    <row r="300">
      <c r="A300" t="inlineStr">
        <is>
          <t>CON-297</t>
        </is>
      </c>
      <c r="B300" t="inlineStr">
        <is>
          <t>Uttar Pradesh</t>
        </is>
      </c>
      <c r="C300" t="inlineStr">
        <is>
          <t>Uttar_Dist_297</t>
        </is>
      </c>
      <c r="D300" t="inlineStr">
        <is>
          <t>SC</t>
        </is>
      </c>
      <c r="E300" t="n">
        <v>1837</v>
      </c>
      <c r="F300" t="n">
        <v>2643</v>
      </c>
      <c r="G300" t="n">
        <v>80.45</v>
      </c>
      <c r="H300" t="n">
        <v>1</v>
      </c>
      <c r="I300" t="n">
        <v>2200</v>
      </c>
      <c r="J300" t="n">
        <v>1.2</v>
      </c>
      <c r="K300" t="n">
        <v>20</v>
      </c>
      <c r="L300" t="inlineStr">
        <is>
          <t>Balanced</t>
        </is>
      </c>
    </row>
    <row r="301">
      <c r="A301" t="inlineStr">
        <is>
          <t>CON-298</t>
        </is>
      </c>
      <c r="B301" t="inlineStr">
        <is>
          <t>Uttar Pradesh</t>
        </is>
      </c>
      <c r="C301" t="inlineStr">
        <is>
          <t>Uttar_Dist_298</t>
        </is>
      </c>
      <c r="D301" t="inlineStr">
        <is>
          <t>General</t>
        </is>
      </c>
      <c r="E301" t="n">
        <v>1709</v>
      </c>
      <c r="F301" t="n">
        <v>2258</v>
      </c>
      <c r="G301" t="n">
        <v>57.31</v>
      </c>
      <c r="H301" t="n">
        <v>1</v>
      </c>
      <c r="I301" t="n">
        <v>2200</v>
      </c>
      <c r="J301" t="n">
        <v>1.03</v>
      </c>
      <c r="K301" t="n">
        <v>3</v>
      </c>
      <c r="L301" t="inlineStr">
        <is>
          <t>Balanced</t>
        </is>
      </c>
    </row>
    <row r="302">
      <c r="A302" t="inlineStr">
        <is>
          <t>CON-299</t>
        </is>
      </c>
      <c r="B302" t="inlineStr">
        <is>
          <t>Andhra Pradesh</t>
        </is>
      </c>
      <c r="C302" t="inlineStr">
        <is>
          <t>Andhra_Dist_299</t>
        </is>
      </c>
      <c r="D302" t="inlineStr">
        <is>
          <t>General</t>
        </is>
      </c>
      <c r="E302" t="n">
        <v>1900</v>
      </c>
      <c r="F302" t="n">
        <v>2584</v>
      </c>
      <c r="G302" t="n">
        <v>72.31999999999999</v>
      </c>
      <c r="H302" t="n">
        <v>1</v>
      </c>
      <c r="I302" t="n">
        <v>2200</v>
      </c>
      <c r="J302" t="n">
        <v>1.17</v>
      </c>
      <c r="K302" t="n">
        <v>17</v>
      </c>
      <c r="L302" t="inlineStr">
        <is>
          <t>Balanced</t>
        </is>
      </c>
    </row>
    <row r="303">
      <c r="A303" t="inlineStr">
        <is>
          <t>CON-300</t>
        </is>
      </c>
      <c r="B303" t="inlineStr">
        <is>
          <t>Kerala</t>
        </is>
      </c>
      <c r="C303" t="inlineStr">
        <is>
          <t>Kerala_Dist_300</t>
        </is>
      </c>
      <c r="D303" t="inlineStr">
        <is>
          <t>General</t>
        </is>
      </c>
      <c r="E303" t="n">
        <v>2484</v>
      </c>
      <c r="F303" t="n">
        <v>3359</v>
      </c>
      <c r="G303" t="n">
        <v>79.06</v>
      </c>
      <c r="H303" t="n">
        <v>1</v>
      </c>
      <c r="I303" t="n">
        <v>2200</v>
      </c>
      <c r="J303" t="n">
        <v>1.53</v>
      </c>
      <c r="K303" t="n">
        <v>53</v>
      </c>
      <c r="L303" t="inlineStr">
        <is>
          <t>Under-represented</t>
        </is>
      </c>
    </row>
    <row r="304">
      <c r="A304" t="inlineStr">
        <is>
          <t>CON-301</t>
        </is>
      </c>
      <c r="B304" t="inlineStr">
        <is>
          <t>Karnataka</t>
        </is>
      </c>
      <c r="C304" t="inlineStr">
        <is>
          <t>Karnataka_Dist_301</t>
        </is>
      </c>
      <c r="D304" t="inlineStr">
        <is>
          <t>General</t>
        </is>
      </c>
      <c r="E304" t="n">
        <v>3621</v>
      </c>
      <c r="F304" t="n">
        <v>5309</v>
      </c>
      <c r="G304" t="n">
        <v>80.08</v>
      </c>
      <c r="H304" t="n">
        <v>1</v>
      </c>
      <c r="I304" t="n">
        <v>2200</v>
      </c>
      <c r="J304" t="n">
        <v>2.41</v>
      </c>
      <c r="K304" t="n">
        <v>141</v>
      </c>
      <c r="L304" t="inlineStr">
        <is>
          <t>Under-represented</t>
        </is>
      </c>
    </row>
    <row r="305">
      <c r="A305" t="inlineStr">
        <is>
          <t>CON-302</t>
        </is>
      </c>
      <c r="B305" t="inlineStr">
        <is>
          <t>Bihar</t>
        </is>
      </c>
      <c r="C305" t="inlineStr">
        <is>
          <t>Bihar_Dist_302</t>
        </is>
      </c>
      <c r="D305" t="inlineStr">
        <is>
          <t>General</t>
        </is>
      </c>
      <c r="E305" t="n">
        <v>2878</v>
      </c>
      <c r="F305" t="n">
        <v>4988</v>
      </c>
      <c r="G305" t="n">
        <v>62.58</v>
      </c>
      <c r="H305" t="n">
        <v>1</v>
      </c>
      <c r="I305" t="n">
        <v>2200</v>
      </c>
      <c r="J305" t="n">
        <v>2.27</v>
      </c>
      <c r="K305" t="n">
        <v>127</v>
      </c>
      <c r="L305" t="inlineStr">
        <is>
          <t>Under-represented</t>
        </is>
      </c>
    </row>
    <row r="306">
      <c r="A306" t="inlineStr">
        <is>
          <t>CON-303</t>
        </is>
      </c>
      <c r="B306" t="inlineStr">
        <is>
          <t>Kerala</t>
        </is>
      </c>
      <c r="C306" t="inlineStr">
        <is>
          <t>Kerala_Dist_303</t>
        </is>
      </c>
      <c r="D306" t="inlineStr">
        <is>
          <t>SC</t>
        </is>
      </c>
      <c r="E306" t="n">
        <v>2364</v>
      </c>
      <c r="F306" t="n">
        <v>3549</v>
      </c>
      <c r="G306" t="n">
        <v>81.98999999999999</v>
      </c>
      <c r="H306" t="n">
        <v>1</v>
      </c>
      <c r="I306" t="n">
        <v>2200</v>
      </c>
      <c r="J306" t="n">
        <v>1.61</v>
      </c>
      <c r="K306" t="n">
        <v>61</v>
      </c>
      <c r="L306" t="inlineStr">
        <is>
          <t>Under-represented</t>
        </is>
      </c>
    </row>
    <row r="307">
      <c r="A307" t="inlineStr">
        <is>
          <t>CON-304</t>
        </is>
      </c>
      <c r="B307" t="inlineStr">
        <is>
          <t>Gujarat</t>
        </is>
      </c>
      <c r="C307" t="inlineStr">
        <is>
          <t>Gujarat_Dist_304</t>
        </is>
      </c>
      <c r="D307" t="inlineStr">
        <is>
          <t>General</t>
        </is>
      </c>
      <c r="E307" t="n">
        <v>2685</v>
      </c>
      <c r="F307" t="n">
        <v>4272</v>
      </c>
      <c r="G307" t="n">
        <v>57.99</v>
      </c>
      <c r="H307" t="n">
        <v>1</v>
      </c>
      <c r="I307" t="n">
        <v>2200</v>
      </c>
      <c r="J307" t="n">
        <v>1.94</v>
      </c>
      <c r="K307" t="n">
        <v>94</v>
      </c>
      <c r="L307" t="inlineStr">
        <is>
          <t>Under-represented</t>
        </is>
      </c>
    </row>
    <row r="308">
      <c r="A308" t="inlineStr">
        <is>
          <t>CON-305</t>
        </is>
      </c>
      <c r="B308" t="inlineStr">
        <is>
          <t>Telangana</t>
        </is>
      </c>
      <c r="C308" t="inlineStr">
        <is>
          <t>Telangana_Dist_305</t>
        </is>
      </c>
      <c r="D308" t="inlineStr">
        <is>
          <t>General</t>
        </is>
      </c>
      <c r="E308" t="n">
        <v>1401</v>
      </c>
      <c r="F308" t="n">
        <v>2383</v>
      </c>
      <c r="G308" t="n">
        <v>77.84999999999999</v>
      </c>
      <c r="H308" t="n">
        <v>1</v>
      </c>
      <c r="I308" t="n">
        <v>2200</v>
      </c>
      <c r="J308" t="n">
        <v>1.08</v>
      </c>
      <c r="K308" t="n">
        <v>8</v>
      </c>
      <c r="L308" t="inlineStr">
        <is>
          <t>Balanced</t>
        </is>
      </c>
    </row>
    <row r="309">
      <c r="A309" t="inlineStr">
        <is>
          <t>CON-306</t>
        </is>
      </c>
      <c r="B309" t="inlineStr">
        <is>
          <t>Maharashtra</t>
        </is>
      </c>
      <c r="C309" t="inlineStr">
        <is>
          <t>Maharashtra_Dist_306</t>
        </is>
      </c>
      <c r="D309" t="inlineStr">
        <is>
          <t>General</t>
        </is>
      </c>
      <c r="E309" t="n">
        <v>1449</v>
      </c>
      <c r="F309" t="n">
        <v>2355</v>
      </c>
      <c r="G309" t="n">
        <v>63.08</v>
      </c>
      <c r="H309" t="n">
        <v>1</v>
      </c>
      <c r="I309" t="n">
        <v>2200</v>
      </c>
      <c r="J309" t="n">
        <v>1.07</v>
      </c>
      <c r="K309" t="n">
        <v>7</v>
      </c>
      <c r="L309" t="inlineStr">
        <is>
          <t>Balanced</t>
        </is>
      </c>
    </row>
    <row r="310">
      <c r="A310" t="inlineStr">
        <is>
          <t>CON-307</t>
        </is>
      </c>
      <c r="B310" t="inlineStr">
        <is>
          <t>Uttar Pradesh</t>
        </is>
      </c>
      <c r="C310" t="inlineStr">
        <is>
          <t>Uttar_Dist_307</t>
        </is>
      </c>
      <c r="D310" t="inlineStr">
        <is>
          <t>General</t>
        </is>
      </c>
      <c r="E310" t="n">
        <v>1258</v>
      </c>
      <c r="F310" t="n">
        <v>2005</v>
      </c>
      <c r="G310" t="n">
        <v>57.22</v>
      </c>
      <c r="H310" t="n">
        <v>1</v>
      </c>
      <c r="I310" t="n">
        <v>2200</v>
      </c>
      <c r="J310" t="n">
        <v>0.91</v>
      </c>
      <c r="K310" t="n">
        <v>9</v>
      </c>
      <c r="L310" t="inlineStr">
        <is>
          <t>Balanced</t>
        </is>
      </c>
    </row>
    <row r="311">
      <c r="A311" t="inlineStr">
        <is>
          <t>CON-308</t>
        </is>
      </c>
      <c r="B311" t="inlineStr">
        <is>
          <t>Maharashtra</t>
        </is>
      </c>
      <c r="C311" t="inlineStr">
        <is>
          <t>Maharashtra_Dist_308</t>
        </is>
      </c>
      <c r="D311" t="inlineStr">
        <is>
          <t>General</t>
        </is>
      </c>
      <c r="E311" t="n">
        <v>2719</v>
      </c>
      <c r="F311" t="n">
        <v>4730</v>
      </c>
      <c r="G311" t="n">
        <v>66.17</v>
      </c>
      <c r="H311" t="n">
        <v>1</v>
      </c>
      <c r="I311" t="n">
        <v>2200</v>
      </c>
      <c r="J311" t="n">
        <v>2.15</v>
      </c>
      <c r="K311" t="n">
        <v>115</v>
      </c>
      <c r="L311" t="inlineStr">
        <is>
          <t>Under-represented</t>
        </is>
      </c>
    </row>
    <row r="312">
      <c r="A312" t="inlineStr">
        <is>
          <t>CON-309</t>
        </is>
      </c>
      <c r="B312" t="inlineStr">
        <is>
          <t>Bihar</t>
        </is>
      </c>
      <c r="C312" t="inlineStr">
        <is>
          <t>Bihar_Dist_309</t>
        </is>
      </c>
      <c r="D312" t="inlineStr">
        <is>
          <t>General</t>
        </is>
      </c>
      <c r="E312" t="n">
        <v>2352</v>
      </c>
      <c r="F312" t="n">
        <v>3648</v>
      </c>
      <c r="G312" t="n">
        <v>67.88</v>
      </c>
      <c r="H312" t="n">
        <v>1</v>
      </c>
      <c r="I312" t="n">
        <v>2200</v>
      </c>
      <c r="J312" t="n">
        <v>1.66</v>
      </c>
      <c r="K312" t="n">
        <v>66</v>
      </c>
      <c r="L312" t="inlineStr">
        <is>
          <t>Under-represented</t>
        </is>
      </c>
    </row>
    <row r="313">
      <c r="A313" t="inlineStr">
        <is>
          <t>CON-310</t>
        </is>
      </c>
      <c r="B313" t="inlineStr">
        <is>
          <t>Tamil Nadu</t>
        </is>
      </c>
      <c r="C313" t="inlineStr">
        <is>
          <t>Tamil_Dist_310</t>
        </is>
      </c>
      <c r="D313" t="inlineStr">
        <is>
          <t>General</t>
        </is>
      </c>
      <c r="E313" t="n">
        <v>2697</v>
      </c>
      <c r="F313" t="n">
        <v>3881</v>
      </c>
      <c r="G313" t="n">
        <v>61.7</v>
      </c>
      <c r="H313" t="n">
        <v>1</v>
      </c>
      <c r="I313" t="n">
        <v>2200</v>
      </c>
      <c r="J313" t="n">
        <v>1.76</v>
      </c>
      <c r="K313" t="n">
        <v>76</v>
      </c>
      <c r="L313" t="inlineStr">
        <is>
          <t>Under-represented</t>
        </is>
      </c>
    </row>
    <row r="314">
      <c r="A314" t="inlineStr">
        <is>
          <t>CON-311</t>
        </is>
      </c>
      <c r="B314" t="inlineStr">
        <is>
          <t>Telangana</t>
        </is>
      </c>
      <c r="C314" t="inlineStr">
        <is>
          <t>Telangana_Dist_311</t>
        </is>
      </c>
      <c r="D314" t="inlineStr">
        <is>
          <t>General</t>
        </is>
      </c>
      <c r="E314" t="n">
        <v>2273</v>
      </c>
      <c r="F314" t="n">
        <v>3324</v>
      </c>
      <c r="G314" t="n">
        <v>79.3</v>
      </c>
      <c r="H314" t="n">
        <v>1</v>
      </c>
      <c r="I314" t="n">
        <v>2200</v>
      </c>
      <c r="J314" t="n">
        <v>1.51</v>
      </c>
      <c r="K314" t="n">
        <v>51</v>
      </c>
      <c r="L314" t="inlineStr">
        <is>
          <t>Under-represented</t>
        </is>
      </c>
    </row>
    <row r="315">
      <c r="A315" t="inlineStr">
        <is>
          <t>CON-312</t>
        </is>
      </c>
      <c r="B315" t="inlineStr">
        <is>
          <t>Bihar</t>
        </is>
      </c>
      <c r="C315" t="inlineStr">
        <is>
          <t>Bihar_Dist_312</t>
        </is>
      </c>
      <c r="D315" t="inlineStr">
        <is>
          <t>ST</t>
        </is>
      </c>
      <c r="E315" t="n">
        <v>2168</v>
      </c>
      <c r="F315" t="n">
        <v>3308</v>
      </c>
      <c r="G315" t="n">
        <v>55.92</v>
      </c>
      <c r="H315" t="n">
        <v>1</v>
      </c>
      <c r="I315" t="n">
        <v>2200</v>
      </c>
      <c r="J315" t="n">
        <v>1.5</v>
      </c>
      <c r="K315" t="n">
        <v>50</v>
      </c>
      <c r="L315" t="inlineStr">
        <is>
          <t>Under-represented</t>
        </is>
      </c>
    </row>
    <row r="316">
      <c r="A316" t="inlineStr">
        <is>
          <t>CON-313</t>
        </is>
      </c>
      <c r="B316" t="inlineStr">
        <is>
          <t>Tamil Nadu</t>
        </is>
      </c>
      <c r="C316" t="inlineStr">
        <is>
          <t>Tamil_Dist_313</t>
        </is>
      </c>
      <c r="D316" t="inlineStr">
        <is>
          <t>SC</t>
        </is>
      </c>
      <c r="E316" t="n">
        <v>2872</v>
      </c>
      <c r="F316" t="n">
        <v>4446</v>
      </c>
      <c r="G316" t="n">
        <v>55.85</v>
      </c>
      <c r="H316" t="n">
        <v>1</v>
      </c>
      <c r="I316" t="n">
        <v>2200</v>
      </c>
      <c r="J316" t="n">
        <v>2.02</v>
      </c>
      <c r="K316" t="n">
        <v>102</v>
      </c>
      <c r="L316" t="inlineStr">
        <is>
          <t>Under-represented</t>
        </is>
      </c>
    </row>
    <row r="317">
      <c r="A317" t="inlineStr">
        <is>
          <t>CON-314</t>
        </is>
      </c>
      <c r="B317" t="inlineStr">
        <is>
          <t>Kerala</t>
        </is>
      </c>
      <c r="C317" t="inlineStr">
        <is>
          <t>Kerala_Dist_314</t>
        </is>
      </c>
      <c r="D317" t="inlineStr">
        <is>
          <t>General</t>
        </is>
      </c>
      <c r="E317" t="n">
        <v>3461</v>
      </c>
      <c r="F317" t="n">
        <v>5832</v>
      </c>
      <c r="G317" t="n">
        <v>82.31</v>
      </c>
      <c r="H317" t="n">
        <v>1</v>
      </c>
      <c r="I317" t="n">
        <v>2200</v>
      </c>
      <c r="J317" t="n">
        <v>2.65</v>
      </c>
      <c r="K317" t="n">
        <v>165</v>
      </c>
      <c r="L317" t="inlineStr">
        <is>
          <t>Under-represented</t>
        </is>
      </c>
    </row>
    <row r="318">
      <c r="A318" t="inlineStr">
        <is>
          <t>CON-315</t>
        </is>
      </c>
      <c r="B318" t="inlineStr">
        <is>
          <t>Tamil Nadu</t>
        </is>
      </c>
      <c r="C318" t="inlineStr">
        <is>
          <t>Tamil_Dist_315</t>
        </is>
      </c>
      <c r="D318" t="inlineStr">
        <is>
          <t>General</t>
        </is>
      </c>
      <c r="E318" t="n">
        <v>3593</v>
      </c>
      <c r="F318" t="n">
        <v>5950</v>
      </c>
      <c r="G318" t="n">
        <v>74.58</v>
      </c>
      <c r="H318" t="n">
        <v>1</v>
      </c>
      <c r="I318" t="n">
        <v>2200</v>
      </c>
      <c r="J318" t="n">
        <v>2.7</v>
      </c>
      <c r="K318" t="n">
        <v>170</v>
      </c>
      <c r="L318" t="inlineStr">
        <is>
          <t>Under-represented</t>
        </is>
      </c>
    </row>
    <row r="319">
      <c r="A319" t="inlineStr">
        <is>
          <t>CON-316</t>
        </is>
      </c>
      <c r="B319" t="inlineStr">
        <is>
          <t>Uttar Pradesh</t>
        </is>
      </c>
      <c r="C319" t="inlineStr">
        <is>
          <t>Uttar_Dist_316</t>
        </is>
      </c>
      <c r="D319" t="inlineStr">
        <is>
          <t>General</t>
        </is>
      </c>
      <c r="E319" t="n">
        <v>3376</v>
      </c>
      <c r="F319" t="n">
        <v>4379</v>
      </c>
      <c r="G319" t="n">
        <v>59.59</v>
      </c>
      <c r="H319" t="n">
        <v>1</v>
      </c>
      <c r="I319" t="n">
        <v>2200</v>
      </c>
      <c r="J319" t="n">
        <v>1.99</v>
      </c>
      <c r="K319" t="n">
        <v>99</v>
      </c>
      <c r="L319" t="inlineStr">
        <is>
          <t>Under-represented</t>
        </is>
      </c>
    </row>
    <row r="320">
      <c r="A320" t="inlineStr">
        <is>
          <t>CON-317</t>
        </is>
      </c>
      <c r="B320" t="inlineStr">
        <is>
          <t>West Bengal</t>
        </is>
      </c>
      <c r="C320" t="inlineStr">
        <is>
          <t>West_Dist_317</t>
        </is>
      </c>
      <c r="D320" t="inlineStr">
        <is>
          <t>SC</t>
        </is>
      </c>
      <c r="E320" t="n">
        <v>3278</v>
      </c>
      <c r="F320" t="n">
        <v>4992</v>
      </c>
      <c r="G320" t="n">
        <v>53.57</v>
      </c>
      <c r="H320" t="n">
        <v>1</v>
      </c>
      <c r="I320" t="n">
        <v>2200</v>
      </c>
      <c r="J320" t="n">
        <v>2.27</v>
      </c>
      <c r="K320" t="n">
        <v>127</v>
      </c>
      <c r="L320" t="inlineStr">
        <is>
          <t>Under-represented</t>
        </is>
      </c>
    </row>
    <row r="321">
      <c r="A321" t="inlineStr">
        <is>
          <t>CON-318</t>
        </is>
      </c>
      <c r="B321" t="inlineStr">
        <is>
          <t>Karnataka</t>
        </is>
      </c>
      <c r="C321" t="inlineStr">
        <is>
          <t>Karnataka_Dist_318</t>
        </is>
      </c>
      <c r="D321" t="inlineStr">
        <is>
          <t>General</t>
        </is>
      </c>
      <c r="E321" t="n">
        <v>2327</v>
      </c>
      <c r="F321" t="n">
        <v>3255</v>
      </c>
      <c r="G321" t="n">
        <v>64.42</v>
      </c>
      <c r="H321" t="n">
        <v>1</v>
      </c>
      <c r="I321" t="n">
        <v>2200</v>
      </c>
      <c r="J321" t="n">
        <v>1.48</v>
      </c>
      <c r="K321" t="n">
        <v>48</v>
      </c>
      <c r="L321" t="inlineStr">
        <is>
          <t>Under-represented</t>
        </is>
      </c>
    </row>
    <row r="322">
      <c r="A322" t="inlineStr">
        <is>
          <t>CON-319</t>
        </is>
      </c>
      <c r="B322" t="inlineStr">
        <is>
          <t>Maharashtra</t>
        </is>
      </c>
      <c r="C322" t="inlineStr">
        <is>
          <t>Maharashtra_Dist_319</t>
        </is>
      </c>
      <c r="D322" t="inlineStr">
        <is>
          <t>General</t>
        </is>
      </c>
      <c r="E322" t="n">
        <v>1401</v>
      </c>
      <c r="F322" t="n">
        <v>1983</v>
      </c>
      <c r="G322" t="n">
        <v>57.07</v>
      </c>
      <c r="H322" t="n">
        <v>1</v>
      </c>
      <c r="I322" t="n">
        <v>2200</v>
      </c>
      <c r="J322" t="n">
        <v>0.9</v>
      </c>
      <c r="K322" t="n">
        <v>10</v>
      </c>
      <c r="L322" t="inlineStr">
        <is>
          <t>Balanced</t>
        </is>
      </c>
    </row>
    <row r="323">
      <c r="A323" t="inlineStr">
        <is>
          <t>CON-320</t>
        </is>
      </c>
      <c r="B323" t="inlineStr">
        <is>
          <t>Karnataka</t>
        </is>
      </c>
      <c r="C323" t="inlineStr">
        <is>
          <t>Karnataka_Dist_320</t>
        </is>
      </c>
      <c r="D323" t="inlineStr">
        <is>
          <t>General</t>
        </is>
      </c>
      <c r="E323" t="n">
        <v>1633</v>
      </c>
      <c r="F323" t="n">
        <v>2417</v>
      </c>
      <c r="G323" t="n">
        <v>63.12</v>
      </c>
      <c r="H323" t="n">
        <v>1</v>
      </c>
      <c r="I323" t="n">
        <v>2200</v>
      </c>
      <c r="J323" t="n">
        <v>1.1</v>
      </c>
      <c r="K323" t="n">
        <v>10</v>
      </c>
      <c r="L323" t="inlineStr">
        <is>
          <t>Balanced</t>
        </is>
      </c>
    </row>
    <row r="324">
      <c r="A324" t="inlineStr">
        <is>
          <t>CON-321</t>
        </is>
      </c>
      <c r="B324" t="inlineStr">
        <is>
          <t>Maharashtra</t>
        </is>
      </c>
      <c r="C324" t="inlineStr">
        <is>
          <t>Maharashtra_Dist_321</t>
        </is>
      </c>
      <c r="D324" t="inlineStr">
        <is>
          <t>General</t>
        </is>
      </c>
      <c r="E324" t="n">
        <v>1945</v>
      </c>
      <c r="F324" t="n">
        <v>2524</v>
      </c>
      <c r="G324" t="n">
        <v>57.15</v>
      </c>
      <c r="H324" t="n">
        <v>1</v>
      </c>
      <c r="I324" t="n">
        <v>2200</v>
      </c>
      <c r="J324" t="n">
        <v>1.15</v>
      </c>
      <c r="K324" t="n">
        <v>15</v>
      </c>
      <c r="L324" t="inlineStr">
        <is>
          <t>Balanced</t>
        </is>
      </c>
    </row>
    <row r="325">
      <c r="A325" t="inlineStr">
        <is>
          <t>CON-322</t>
        </is>
      </c>
      <c r="B325" t="inlineStr">
        <is>
          <t>Gujarat</t>
        </is>
      </c>
      <c r="C325" t="inlineStr">
        <is>
          <t>Gujarat_Dist_322</t>
        </is>
      </c>
      <c r="D325" t="inlineStr">
        <is>
          <t>General</t>
        </is>
      </c>
      <c r="E325" t="n">
        <v>2176</v>
      </c>
      <c r="F325" t="n">
        <v>3294</v>
      </c>
      <c r="G325" t="n">
        <v>74.55</v>
      </c>
      <c r="H325" t="n">
        <v>1</v>
      </c>
      <c r="I325" t="n">
        <v>2200</v>
      </c>
      <c r="J325" t="n">
        <v>1.5</v>
      </c>
      <c r="K325" t="n">
        <v>50</v>
      </c>
      <c r="L325" t="inlineStr">
        <is>
          <t>Under-represented</t>
        </is>
      </c>
    </row>
    <row r="326">
      <c r="A326" t="inlineStr">
        <is>
          <t>CON-323</t>
        </is>
      </c>
      <c r="B326" t="inlineStr">
        <is>
          <t>Kerala</t>
        </is>
      </c>
      <c r="C326" t="inlineStr">
        <is>
          <t>Kerala_Dist_323</t>
        </is>
      </c>
      <c r="D326" t="inlineStr">
        <is>
          <t>SC</t>
        </is>
      </c>
      <c r="E326" t="n">
        <v>2032</v>
      </c>
      <c r="F326" t="n">
        <v>2988</v>
      </c>
      <c r="G326" t="n">
        <v>54.3</v>
      </c>
      <c r="H326" t="n">
        <v>1</v>
      </c>
      <c r="I326" t="n">
        <v>2200</v>
      </c>
      <c r="J326" t="n">
        <v>1.36</v>
      </c>
      <c r="K326" t="n">
        <v>36</v>
      </c>
      <c r="L326" t="inlineStr">
        <is>
          <t>Under-represented</t>
        </is>
      </c>
    </row>
    <row r="327">
      <c r="A327" t="inlineStr">
        <is>
          <t>CON-324</t>
        </is>
      </c>
      <c r="B327" t="inlineStr">
        <is>
          <t>Andhra Pradesh</t>
        </is>
      </c>
      <c r="C327" t="inlineStr">
        <is>
          <t>Andhra_Dist_324</t>
        </is>
      </c>
      <c r="D327" t="inlineStr">
        <is>
          <t>General</t>
        </is>
      </c>
      <c r="E327" t="n">
        <v>3650</v>
      </c>
      <c r="F327" t="n">
        <v>5940</v>
      </c>
      <c r="G327" t="n">
        <v>80.68000000000001</v>
      </c>
      <c r="H327" t="n">
        <v>1</v>
      </c>
      <c r="I327" t="n">
        <v>2200</v>
      </c>
      <c r="J327" t="n">
        <v>2.7</v>
      </c>
      <c r="K327" t="n">
        <v>170</v>
      </c>
      <c r="L327" t="inlineStr">
        <is>
          <t>Under-represented</t>
        </is>
      </c>
    </row>
    <row r="328">
      <c r="A328" t="inlineStr">
        <is>
          <t>CON-325</t>
        </is>
      </c>
      <c r="B328" t="inlineStr">
        <is>
          <t>Maharashtra</t>
        </is>
      </c>
      <c r="C328" t="inlineStr">
        <is>
          <t>Maharashtra_Dist_325</t>
        </is>
      </c>
      <c r="D328" t="inlineStr">
        <is>
          <t>General</t>
        </is>
      </c>
      <c r="E328" t="n">
        <v>3372</v>
      </c>
      <c r="F328" t="n">
        <v>4668</v>
      </c>
      <c r="G328" t="n">
        <v>78.67</v>
      </c>
      <c r="H328" t="n">
        <v>1</v>
      </c>
      <c r="I328" t="n">
        <v>2200</v>
      </c>
      <c r="J328" t="n">
        <v>2.12</v>
      </c>
      <c r="K328" t="n">
        <v>112</v>
      </c>
      <c r="L328" t="inlineStr">
        <is>
          <t>Under-represented</t>
        </is>
      </c>
    </row>
    <row r="329">
      <c r="A329" t="inlineStr">
        <is>
          <t>CON-326</t>
        </is>
      </c>
      <c r="B329" t="inlineStr">
        <is>
          <t>Tamil Nadu</t>
        </is>
      </c>
      <c r="C329" t="inlineStr">
        <is>
          <t>Tamil_Dist_326</t>
        </is>
      </c>
      <c r="D329" t="inlineStr">
        <is>
          <t>General</t>
        </is>
      </c>
      <c r="E329" t="n">
        <v>3335</v>
      </c>
      <c r="F329" t="n">
        <v>4243</v>
      </c>
      <c r="G329" t="n">
        <v>54.09</v>
      </c>
      <c r="H329" t="n">
        <v>1</v>
      </c>
      <c r="I329" t="n">
        <v>2200</v>
      </c>
      <c r="J329" t="n">
        <v>1.93</v>
      </c>
      <c r="K329" t="n">
        <v>93</v>
      </c>
      <c r="L329" t="inlineStr">
        <is>
          <t>Under-represented</t>
        </is>
      </c>
    </row>
    <row r="330">
      <c r="A330" t="inlineStr">
        <is>
          <t>CON-327</t>
        </is>
      </c>
      <c r="B330" t="inlineStr">
        <is>
          <t>Bihar</t>
        </is>
      </c>
      <c r="C330" t="inlineStr">
        <is>
          <t>Bihar_Dist_327</t>
        </is>
      </c>
      <c r="D330" t="inlineStr">
        <is>
          <t>General</t>
        </is>
      </c>
      <c r="E330" t="n">
        <v>1777</v>
      </c>
      <c r="F330" t="n">
        <v>2487</v>
      </c>
      <c r="G330" t="n">
        <v>74.03</v>
      </c>
      <c r="H330" t="n">
        <v>1</v>
      </c>
      <c r="I330" t="n">
        <v>2200</v>
      </c>
      <c r="J330" t="n">
        <v>1.13</v>
      </c>
      <c r="K330" t="n">
        <v>13</v>
      </c>
      <c r="L330" t="inlineStr">
        <is>
          <t>Balanced</t>
        </is>
      </c>
    </row>
    <row r="331">
      <c r="A331" t="inlineStr">
        <is>
          <t>CON-328</t>
        </is>
      </c>
      <c r="B331" t="inlineStr">
        <is>
          <t>Tamil Nadu</t>
        </is>
      </c>
      <c r="C331" t="inlineStr">
        <is>
          <t>Tamil_Dist_328</t>
        </is>
      </c>
      <c r="D331" t="inlineStr">
        <is>
          <t>General</t>
        </is>
      </c>
      <c r="E331" t="n">
        <v>2354</v>
      </c>
      <c r="F331" t="n">
        <v>3498</v>
      </c>
      <c r="G331" t="n">
        <v>66.43000000000001</v>
      </c>
      <c r="H331" t="n">
        <v>1</v>
      </c>
      <c r="I331" t="n">
        <v>2200</v>
      </c>
      <c r="J331" t="n">
        <v>1.59</v>
      </c>
      <c r="K331" t="n">
        <v>59</v>
      </c>
      <c r="L331" t="inlineStr">
        <is>
          <t>Under-represented</t>
        </is>
      </c>
    </row>
    <row r="332">
      <c r="A332" t="inlineStr">
        <is>
          <t>CON-329</t>
        </is>
      </c>
      <c r="B332" t="inlineStr">
        <is>
          <t>Maharashtra</t>
        </is>
      </c>
      <c r="C332" t="inlineStr">
        <is>
          <t>Maharashtra_Dist_329</t>
        </is>
      </c>
      <c r="D332" t="inlineStr">
        <is>
          <t>General</t>
        </is>
      </c>
      <c r="E332" t="n">
        <v>1605</v>
      </c>
      <c r="F332" t="n">
        <v>2789</v>
      </c>
      <c r="G332" t="n">
        <v>53.27</v>
      </c>
      <c r="H332" t="n">
        <v>1</v>
      </c>
      <c r="I332" t="n">
        <v>2200</v>
      </c>
      <c r="J332" t="n">
        <v>1.27</v>
      </c>
      <c r="K332" t="n">
        <v>27</v>
      </c>
      <c r="L332" t="inlineStr">
        <is>
          <t>Under-represented</t>
        </is>
      </c>
    </row>
    <row r="333">
      <c r="A333" t="inlineStr">
        <is>
          <t>CON-330</t>
        </is>
      </c>
      <c r="B333" t="inlineStr">
        <is>
          <t>Karnataka</t>
        </is>
      </c>
      <c r="C333" t="inlineStr">
        <is>
          <t>Karnataka_Dist_330</t>
        </is>
      </c>
      <c r="D333" t="inlineStr">
        <is>
          <t>General</t>
        </is>
      </c>
      <c r="E333" t="n">
        <v>2291</v>
      </c>
      <c r="F333" t="n">
        <v>3301</v>
      </c>
      <c r="G333" t="n">
        <v>53.25</v>
      </c>
      <c r="H333" t="n">
        <v>1</v>
      </c>
      <c r="I333" t="n">
        <v>2200</v>
      </c>
      <c r="J333" t="n">
        <v>1.5</v>
      </c>
      <c r="K333" t="n">
        <v>50</v>
      </c>
      <c r="L333" t="inlineStr">
        <is>
          <t>Under-represented</t>
        </is>
      </c>
    </row>
    <row r="334">
      <c r="A334" t="inlineStr">
        <is>
          <t>CON-331</t>
        </is>
      </c>
      <c r="B334" t="inlineStr">
        <is>
          <t>Telangana</t>
        </is>
      </c>
      <c r="C334" t="inlineStr">
        <is>
          <t>Telangana_Dist_331</t>
        </is>
      </c>
      <c r="D334" t="inlineStr">
        <is>
          <t>General</t>
        </is>
      </c>
      <c r="E334" t="n">
        <v>3380</v>
      </c>
      <c r="F334" t="n">
        <v>4794</v>
      </c>
      <c r="G334" t="n">
        <v>71.43000000000001</v>
      </c>
      <c r="H334" t="n">
        <v>1</v>
      </c>
      <c r="I334" t="n">
        <v>2200</v>
      </c>
      <c r="J334" t="n">
        <v>2.18</v>
      </c>
      <c r="K334" t="n">
        <v>118</v>
      </c>
      <c r="L334" t="inlineStr">
        <is>
          <t>Under-represented</t>
        </is>
      </c>
    </row>
    <row r="335">
      <c r="A335" t="inlineStr">
        <is>
          <t>CON-332</t>
        </is>
      </c>
      <c r="B335" t="inlineStr">
        <is>
          <t>Andhra Pradesh</t>
        </is>
      </c>
      <c r="C335" t="inlineStr">
        <is>
          <t>Andhra_Dist_332</t>
        </is>
      </c>
      <c r="D335" t="inlineStr">
        <is>
          <t>General</t>
        </is>
      </c>
      <c r="E335" t="n">
        <v>2476</v>
      </c>
      <c r="F335" t="n">
        <v>3258</v>
      </c>
      <c r="G335" t="n">
        <v>52.97</v>
      </c>
      <c r="H335" t="n">
        <v>1</v>
      </c>
      <c r="I335" t="n">
        <v>2200</v>
      </c>
      <c r="J335" t="n">
        <v>1.48</v>
      </c>
      <c r="K335" t="n">
        <v>48</v>
      </c>
      <c r="L335" t="inlineStr">
        <is>
          <t>Under-represented</t>
        </is>
      </c>
    </row>
    <row r="336">
      <c r="A336" t="inlineStr">
        <is>
          <t>CON-333</t>
        </is>
      </c>
      <c r="B336" t="inlineStr">
        <is>
          <t>Uttar Pradesh</t>
        </is>
      </c>
      <c r="C336" t="inlineStr">
        <is>
          <t>Uttar_Dist_333</t>
        </is>
      </c>
      <c r="D336" t="inlineStr">
        <is>
          <t>General</t>
        </is>
      </c>
      <c r="E336" t="n">
        <v>1922</v>
      </c>
      <c r="F336" t="n">
        <v>2979</v>
      </c>
      <c r="G336" t="n">
        <v>54.88</v>
      </c>
      <c r="H336" t="n">
        <v>1</v>
      </c>
      <c r="I336" t="n">
        <v>2200</v>
      </c>
      <c r="J336" t="n">
        <v>1.35</v>
      </c>
      <c r="K336" t="n">
        <v>35</v>
      </c>
      <c r="L336" t="inlineStr">
        <is>
          <t>Under-represented</t>
        </is>
      </c>
    </row>
    <row r="337">
      <c r="A337" t="inlineStr">
        <is>
          <t>CON-334</t>
        </is>
      </c>
      <c r="B337" t="inlineStr">
        <is>
          <t>Maharashtra</t>
        </is>
      </c>
      <c r="C337" t="inlineStr">
        <is>
          <t>Maharashtra_Dist_334</t>
        </is>
      </c>
      <c r="D337" t="inlineStr">
        <is>
          <t>SC</t>
        </is>
      </c>
      <c r="E337" t="n">
        <v>1636</v>
      </c>
      <c r="F337" t="n">
        <v>2778</v>
      </c>
      <c r="G337" t="n">
        <v>76.01000000000001</v>
      </c>
      <c r="H337" t="n">
        <v>1</v>
      </c>
      <c r="I337" t="n">
        <v>2200</v>
      </c>
      <c r="J337" t="n">
        <v>1.26</v>
      </c>
      <c r="K337" t="n">
        <v>26</v>
      </c>
      <c r="L337" t="inlineStr">
        <is>
          <t>Under-represented</t>
        </is>
      </c>
    </row>
    <row r="338">
      <c r="A338" t="inlineStr">
        <is>
          <t>CON-335</t>
        </is>
      </c>
      <c r="B338" t="inlineStr">
        <is>
          <t>Gujarat</t>
        </is>
      </c>
      <c r="C338" t="inlineStr">
        <is>
          <t>Gujarat_Dist_335</t>
        </is>
      </c>
      <c r="D338" t="inlineStr">
        <is>
          <t>SC</t>
        </is>
      </c>
      <c r="E338" t="n">
        <v>2788</v>
      </c>
      <c r="F338" t="n">
        <v>3637</v>
      </c>
      <c r="G338" t="n">
        <v>81.34</v>
      </c>
      <c r="H338" t="n">
        <v>1</v>
      </c>
      <c r="I338" t="n">
        <v>2200</v>
      </c>
      <c r="J338" t="n">
        <v>1.65</v>
      </c>
      <c r="K338" t="n">
        <v>65</v>
      </c>
      <c r="L338" t="inlineStr">
        <is>
          <t>Under-represented</t>
        </is>
      </c>
    </row>
    <row r="339">
      <c r="A339" t="inlineStr">
        <is>
          <t>CON-336</t>
        </is>
      </c>
      <c r="B339" t="inlineStr">
        <is>
          <t>Tamil Nadu</t>
        </is>
      </c>
      <c r="C339" t="inlineStr">
        <is>
          <t>Tamil_Dist_336</t>
        </is>
      </c>
      <c r="D339" t="inlineStr">
        <is>
          <t>General</t>
        </is>
      </c>
      <c r="E339" t="n">
        <v>3044</v>
      </c>
      <c r="F339" t="n">
        <v>4112</v>
      </c>
      <c r="G339" t="n">
        <v>70.04000000000001</v>
      </c>
      <c r="H339" t="n">
        <v>1</v>
      </c>
      <c r="I339" t="n">
        <v>2200</v>
      </c>
      <c r="J339" t="n">
        <v>1.87</v>
      </c>
      <c r="K339" t="n">
        <v>87</v>
      </c>
      <c r="L339" t="inlineStr">
        <is>
          <t>Under-represented</t>
        </is>
      </c>
    </row>
    <row r="340">
      <c r="A340" t="inlineStr">
        <is>
          <t>CON-337</t>
        </is>
      </c>
      <c r="B340" t="inlineStr">
        <is>
          <t>Uttar Pradesh</t>
        </is>
      </c>
      <c r="C340" t="inlineStr">
        <is>
          <t>Uttar_Dist_337</t>
        </is>
      </c>
      <c r="D340" t="inlineStr">
        <is>
          <t>General</t>
        </is>
      </c>
      <c r="E340" t="n">
        <v>3470</v>
      </c>
      <c r="F340" t="n">
        <v>4986</v>
      </c>
      <c r="G340" t="n">
        <v>70.48999999999999</v>
      </c>
      <c r="H340" t="n">
        <v>1</v>
      </c>
      <c r="I340" t="n">
        <v>2200</v>
      </c>
      <c r="J340" t="n">
        <v>2.27</v>
      </c>
      <c r="K340" t="n">
        <v>127</v>
      </c>
      <c r="L340" t="inlineStr">
        <is>
          <t>Under-represented</t>
        </is>
      </c>
    </row>
    <row r="341">
      <c r="A341" t="inlineStr">
        <is>
          <t>CON-338</t>
        </is>
      </c>
      <c r="B341" t="inlineStr">
        <is>
          <t>Tamil Nadu</t>
        </is>
      </c>
      <c r="C341" t="inlineStr">
        <is>
          <t>Tamil_Dist_338</t>
        </is>
      </c>
      <c r="D341" t="inlineStr">
        <is>
          <t>General</t>
        </is>
      </c>
      <c r="E341" t="n">
        <v>3736</v>
      </c>
      <c r="F341" t="n">
        <v>4848</v>
      </c>
      <c r="G341" t="n">
        <v>81.14</v>
      </c>
      <c r="H341" t="n">
        <v>1</v>
      </c>
      <c r="I341" t="n">
        <v>2200</v>
      </c>
      <c r="J341" t="n">
        <v>2.2</v>
      </c>
      <c r="K341" t="n">
        <v>120</v>
      </c>
      <c r="L341" t="inlineStr">
        <is>
          <t>Under-represented</t>
        </is>
      </c>
    </row>
    <row r="342">
      <c r="A342" t="inlineStr">
        <is>
          <t>CON-339</t>
        </is>
      </c>
      <c r="B342" t="inlineStr">
        <is>
          <t>Uttar Pradesh</t>
        </is>
      </c>
      <c r="C342" t="inlineStr">
        <is>
          <t>Uttar_Dist_339</t>
        </is>
      </c>
      <c r="D342" t="inlineStr">
        <is>
          <t>General</t>
        </is>
      </c>
      <c r="E342" t="n">
        <v>3653</v>
      </c>
      <c r="F342" t="n">
        <v>6154</v>
      </c>
      <c r="G342" t="n">
        <v>57.1</v>
      </c>
      <c r="H342" t="n">
        <v>1</v>
      </c>
      <c r="I342" t="n">
        <v>2200</v>
      </c>
      <c r="J342" t="n">
        <v>2.8</v>
      </c>
      <c r="K342" t="n">
        <v>180</v>
      </c>
      <c r="L342" t="inlineStr">
        <is>
          <t>Under-represented</t>
        </is>
      </c>
    </row>
    <row r="343">
      <c r="A343" t="inlineStr">
        <is>
          <t>CON-340</t>
        </is>
      </c>
      <c r="B343" t="inlineStr">
        <is>
          <t>Gujarat</t>
        </is>
      </c>
      <c r="C343" t="inlineStr">
        <is>
          <t>Gujarat_Dist_340</t>
        </is>
      </c>
      <c r="D343" t="inlineStr">
        <is>
          <t>General</t>
        </is>
      </c>
      <c r="E343" t="n">
        <v>2329</v>
      </c>
      <c r="F343" t="n">
        <v>3886</v>
      </c>
      <c r="G343" t="n">
        <v>75.90000000000001</v>
      </c>
      <c r="H343" t="n">
        <v>1</v>
      </c>
      <c r="I343" t="n">
        <v>2200</v>
      </c>
      <c r="J343" t="n">
        <v>1.77</v>
      </c>
      <c r="K343" t="n">
        <v>77</v>
      </c>
      <c r="L343" t="inlineStr">
        <is>
          <t>Under-represented</t>
        </is>
      </c>
    </row>
    <row r="344">
      <c r="A344" t="inlineStr">
        <is>
          <t>CON-341</t>
        </is>
      </c>
      <c r="B344" t="inlineStr">
        <is>
          <t>Uttar Pradesh</t>
        </is>
      </c>
      <c r="C344" t="inlineStr">
        <is>
          <t>Uttar_Dist_341</t>
        </is>
      </c>
      <c r="D344" t="inlineStr">
        <is>
          <t>General</t>
        </is>
      </c>
      <c r="E344" t="n">
        <v>1368</v>
      </c>
      <c r="F344" t="n">
        <v>1722</v>
      </c>
      <c r="G344" t="n">
        <v>58.47</v>
      </c>
      <c r="H344" t="n">
        <v>1</v>
      </c>
      <c r="I344" t="n">
        <v>2200</v>
      </c>
      <c r="J344" t="n">
        <v>0.78</v>
      </c>
      <c r="K344" t="n">
        <v>22</v>
      </c>
      <c r="L344" t="inlineStr">
        <is>
          <t>Over-represented</t>
        </is>
      </c>
    </row>
    <row r="345">
      <c r="A345" t="inlineStr">
        <is>
          <t>CON-342</t>
        </is>
      </c>
      <c r="B345" t="inlineStr">
        <is>
          <t>Bihar</t>
        </is>
      </c>
      <c r="C345" t="inlineStr">
        <is>
          <t>Bihar_Dist_342</t>
        </is>
      </c>
      <c r="D345" t="inlineStr">
        <is>
          <t>General</t>
        </is>
      </c>
      <c r="E345" t="n">
        <v>2268</v>
      </c>
      <c r="F345" t="n">
        <v>3266</v>
      </c>
      <c r="G345" t="n">
        <v>77.26000000000001</v>
      </c>
      <c r="H345" t="n">
        <v>1</v>
      </c>
      <c r="I345" t="n">
        <v>2200</v>
      </c>
      <c r="J345" t="n">
        <v>1.48</v>
      </c>
      <c r="K345" t="n">
        <v>48</v>
      </c>
      <c r="L345" t="inlineStr">
        <is>
          <t>Under-represented</t>
        </is>
      </c>
    </row>
    <row r="346">
      <c r="A346" t="inlineStr">
        <is>
          <t>CON-343</t>
        </is>
      </c>
      <c r="B346" t="inlineStr">
        <is>
          <t>Andhra Pradesh</t>
        </is>
      </c>
      <c r="C346" t="inlineStr">
        <is>
          <t>Andhra_Dist_343</t>
        </is>
      </c>
      <c r="D346" t="inlineStr">
        <is>
          <t>General</t>
        </is>
      </c>
      <c r="E346" t="n">
        <v>2173</v>
      </c>
      <c r="F346" t="n">
        <v>3151</v>
      </c>
      <c r="G346" t="n">
        <v>56.62</v>
      </c>
      <c r="H346" t="n">
        <v>1</v>
      </c>
      <c r="I346" t="n">
        <v>2200</v>
      </c>
      <c r="J346" t="n">
        <v>1.43</v>
      </c>
      <c r="K346" t="n">
        <v>43</v>
      </c>
      <c r="L346" t="inlineStr">
        <is>
          <t>Under-represented</t>
        </is>
      </c>
    </row>
    <row r="347">
      <c r="A347" t="inlineStr">
        <is>
          <t>CON-344</t>
        </is>
      </c>
      <c r="B347" t="inlineStr">
        <is>
          <t>Karnataka</t>
        </is>
      </c>
      <c r="C347" t="inlineStr">
        <is>
          <t>Karnataka_Dist_344</t>
        </is>
      </c>
      <c r="D347" t="inlineStr">
        <is>
          <t>General</t>
        </is>
      </c>
      <c r="E347" t="n">
        <v>2825</v>
      </c>
      <c r="F347" t="n">
        <v>4690</v>
      </c>
      <c r="G347" t="n">
        <v>73.22</v>
      </c>
      <c r="H347" t="n">
        <v>1</v>
      </c>
      <c r="I347" t="n">
        <v>2200</v>
      </c>
      <c r="J347" t="n">
        <v>2.13</v>
      </c>
      <c r="K347" t="n">
        <v>113</v>
      </c>
      <c r="L347" t="inlineStr">
        <is>
          <t>Under-represented</t>
        </is>
      </c>
    </row>
    <row r="348">
      <c r="A348" t="inlineStr">
        <is>
          <t>CON-345</t>
        </is>
      </c>
      <c r="B348" t="inlineStr">
        <is>
          <t>Andhra Pradesh</t>
        </is>
      </c>
      <c r="C348" t="inlineStr">
        <is>
          <t>Andhra_Dist_345</t>
        </is>
      </c>
      <c r="D348" t="inlineStr">
        <is>
          <t>ST</t>
        </is>
      </c>
      <c r="E348" t="n">
        <v>2717</v>
      </c>
      <c r="F348" t="n">
        <v>4174</v>
      </c>
      <c r="G348" t="n">
        <v>57.24</v>
      </c>
      <c r="H348" t="n">
        <v>1</v>
      </c>
      <c r="I348" t="n">
        <v>2200</v>
      </c>
      <c r="J348" t="n">
        <v>1.9</v>
      </c>
      <c r="K348" t="n">
        <v>90</v>
      </c>
      <c r="L348" t="inlineStr">
        <is>
          <t>Under-represented</t>
        </is>
      </c>
    </row>
    <row r="349">
      <c r="A349" t="inlineStr">
        <is>
          <t>CON-346</t>
        </is>
      </c>
      <c r="B349" t="inlineStr">
        <is>
          <t>Uttar Pradesh</t>
        </is>
      </c>
      <c r="C349" t="inlineStr">
        <is>
          <t>Uttar_Dist_346</t>
        </is>
      </c>
      <c r="D349" t="inlineStr">
        <is>
          <t>General</t>
        </is>
      </c>
      <c r="E349" t="n">
        <v>3521</v>
      </c>
      <c r="F349" t="n">
        <v>4607</v>
      </c>
      <c r="G349" t="n">
        <v>62.01</v>
      </c>
      <c r="H349" t="n">
        <v>1</v>
      </c>
      <c r="I349" t="n">
        <v>2200</v>
      </c>
      <c r="J349" t="n">
        <v>2.09</v>
      </c>
      <c r="K349" t="n">
        <v>109</v>
      </c>
      <c r="L349" t="inlineStr">
        <is>
          <t>Under-represented</t>
        </is>
      </c>
    </row>
    <row r="350">
      <c r="A350" t="inlineStr">
        <is>
          <t>CON-347</t>
        </is>
      </c>
      <c r="B350" t="inlineStr">
        <is>
          <t>Maharashtra</t>
        </is>
      </c>
      <c r="C350" t="inlineStr">
        <is>
          <t>Maharashtra_Dist_347</t>
        </is>
      </c>
      <c r="D350" t="inlineStr">
        <is>
          <t>ST</t>
        </is>
      </c>
      <c r="E350" t="n">
        <v>2155</v>
      </c>
      <c r="F350" t="n">
        <v>2903</v>
      </c>
      <c r="G350" t="n">
        <v>81.39</v>
      </c>
      <c r="H350" t="n">
        <v>1</v>
      </c>
      <c r="I350" t="n">
        <v>2200</v>
      </c>
      <c r="J350" t="n">
        <v>1.32</v>
      </c>
      <c r="K350" t="n">
        <v>32</v>
      </c>
      <c r="L350" t="inlineStr">
        <is>
          <t>Under-represented</t>
        </is>
      </c>
    </row>
    <row r="351">
      <c r="A351" t="inlineStr">
        <is>
          <t>CON-348</t>
        </is>
      </c>
      <c r="B351" t="inlineStr">
        <is>
          <t>Maharashtra</t>
        </is>
      </c>
      <c r="C351" t="inlineStr">
        <is>
          <t>Maharashtra_Dist_348</t>
        </is>
      </c>
      <c r="D351" t="inlineStr">
        <is>
          <t>General</t>
        </is>
      </c>
      <c r="E351" t="n">
        <v>1761</v>
      </c>
      <c r="F351" t="n">
        <v>2560</v>
      </c>
      <c r="G351" t="n">
        <v>71.16</v>
      </c>
      <c r="H351" t="n">
        <v>1</v>
      </c>
      <c r="I351" t="n">
        <v>2200</v>
      </c>
      <c r="J351" t="n">
        <v>1.16</v>
      </c>
      <c r="K351" t="n">
        <v>16</v>
      </c>
      <c r="L351" t="inlineStr">
        <is>
          <t>Balanced</t>
        </is>
      </c>
    </row>
    <row r="352">
      <c r="A352" t="inlineStr">
        <is>
          <t>CON-349</t>
        </is>
      </c>
      <c r="B352" t="inlineStr">
        <is>
          <t>Maharashtra</t>
        </is>
      </c>
      <c r="C352" t="inlineStr">
        <is>
          <t>Maharashtra_Dist_349</t>
        </is>
      </c>
      <c r="D352" t="inlineStr">
        <is>
          <t>General</t>
        </is>
      </c>
      <c r="E352" t="n">
        <v>1691</v>
      </c>
      <c r="F352" t="n">
        <v>2286</v>
      </c>
      <c r="G352" t="n">
        <v>80.41</v>
      </c>
      <c r="H352" t="n">
        <v>1</v>
      </c>
      <c r="I352" t="n">
        <v>2200</v>
      </c>
      <c r="J352" t="n">
        <v>1.04</v>
      </c>
      <c r="K352" t="n">
        <v>4</v>
      </c>
      <c r="L352" t="inlineStr">
        <is>
          <t>Balanced</t>
        </is>
      </c>
    </row>
    <row r="353">
      <c r="A353" t="inlineStr">
        <is>
          <t>CON-350</t>
        </is>
      </c>
      <c r="B353" t="inlineStr">
        <is>
          <t>Maharashtra</t>
        </is>
      </c>
      <c r="C353" t="inlineStr">
        <is>
          <t>Maharashtra_Dist_350</t>
        </is>
      </c>
      <c r="D353" t="inlineStr">
        <is>
          <t>SC</t>
        </is>
      </c>
      <c r="E353" t="n">
        <v>2707</v>
      </c>
      <c r="F353" t="n">
        <v>3807</v>
      </c>
      <c r="G353" t="n">
        <v>77.73999999999999</v>
      </c>
      <c r="H353" t="n">
        <v>1</v>
      </c>
      <c r="I353" t="n">
        <v>2200</v>
      </c>
      <c r="J353" t="n">
        <v>1.73</v>
      </c>
      <c r="K353" t="n">
        <v>73</v>
      </c>
      <c r="L353" t="inlineStr">
        <is>
          <t>Under-represented</t>
        </is>
      </c>
    </row>
    <row r="354">
      <c r="A354" t="inlineStr">
        <is>
          <t>CON-351</t>
        </is>
      </c>
      <c r="B354" t="inlineStr">
        <is>
          <t>Kerala</t>
        </is>
      </c>
      <c r="C354" t="inlineStr">
        <is>
          <t>Kerala_Dist_351</t>
        </is>
      </c>
      <c r="D354" t="inlineStr">
        <is>
          <t>General</t>
        </is>
      </c>
      <c r="E354" t="n">
        <v>1726</v>
      </c>
      <c r="F354" t="n">
        <v>2802</v>
      </c>
      <c r="G354" t="n">
        <v>69.09999999999999</v>
      </c>
      <c r="H354" t="n">
        <v>1</v>
      </c>
      <c r="I354" t="n">
        <v>2200</v>
      </c>
      <c r="J354" t="n">
        <v>1.27</v>
      </c>
      <c r="K354" t="n">
        <v>27</v>
      </c>
      <c r="L354" t="inlineStr">
        <is>
          <t>Under-represented</t>
        </is>
      </c>
    </row>
    <row r="355">
      <c r="A355" t="inlineStr">
        <is>
          <t>CON-352</t>
        </is>
      </c>
      <c r="B355" t="inlineStr">
        <is>
          <t>Tamil Nadu</t>
        </is>
      </c>
      <c r="C355" t="inlineStr">
        <is>
          <t>Tamil_Dist_352</t>
        </is>
      </c>
      <c r="D355" t="inlineStr">
        <is>
          <t>General</t>
        </is>
      </c>
      <c r="E355" t="n">
        <v>1885</v>
      </c>
      <c r="F355" t="n">
        <v>2518</v>
      </c>
      <c r="G355" t="n">
        <v>64.58</v>
      </c>
      <c r="H355" t="n">
        <v>1</v>
      </c>
      <c r="I355" t="n">
        <v>2200</v>
      </c>
      <c r="J355" t="n">
        <v>1.14</v>
      </c>
      <c r="K355" t="n">
        <v>14</v>
      </c>
      <c r="L355" t="inlineStr">
        <is>
          <t>Balanced</t>
        </is>
      </c>
    </row>
    <row r="356">
      <c r="A356" t="inlineStr">
        <is>
          <t>CON-353</t>
        </is>
      </c>
      <c r="B356" t="inlineStr">
        <is>
          <t>Maharashtra</t>
        </is>
      </c>
      <c r="C356" t="inlineStr">
        <is>
          <t>Maharashtra_Dist_353</t>
        </is>
      </c>
      <c r="D356" t="inlineStr">
        <is>
          <t>General</t>
        </is>
      </c>
      <c r="E356" t="n">
        <v>3644</v>
      </c>
      <c r="F356" t="n">
        <v>6054</v>
      </c>
      <c r="G356" t="n">
        <v>64.14</v>
      </c>
      <c r="H356" t="n">
        <v>1</v>
      </c>
      <c r="I356" t="n">
        <v>2200</v>
      </c>
      <c r="J356" t="n">
        <v>2.75</v>
      </c>
      <c r="K356" t="n">
        <v>175</v>
      </c>
      <c r="L356" t="inlineStr">
        <is>
          <t>Under-represented</t>
        </is>
      </c>
    </row>
    <row r="357">
      <c r="A357" t="inlineStr">
        <is>
          <t>CON-354</t>
        </is>
      </c>
      <c r="B357" t="inlineStr">
        <is>
          <t>Uttar Pradesh</t>
        </is>
      </c>
      <c r="C357" t="inlineStr">
        <is>
          <t>Uttar_Dist_354</t>
        </is>
      </c>
      <c r="D357" t="inlineStr">
        <is>
          <t>General</t>
        </is>
      </c>
      <c r="E357" t="n">
        <v>3017</v>
      </c>
      <c r="F357" t="n">
        <v>4728</v>
      </c>
      <c r="G357" t="n">
        <v>81.19</v>
      </c>
      <c r="H357" t="n">
        <v>1</v>
      </c>
      <c r="I357" t="n">
        <v>2200</v>
      </c>
      <c r="J357" t="n">
        <v>2.15</v>
      </c>
      <c r="K357" t="n">
        <v>115</v>
      </c>
      <c r="L357" t="inlineStr">
        <is>
          <t>Under-represented</t>
        </is>
      </c>
    </row>
    <row r="358">
      <c r="A358" t="inlineStr">
        <is>
          <t>CON-355</t>
        </is>
      </c>
      <c r="B358" t="inlineStr">
        <is>
          <t>Uttar Pradesh</t>
        </is>
      </c>
      <c r="C358" t="inlineStr">
        <is>
          <t>Uttar_Dist_355</t>
        </is>
      </c>
      <c r="D358" t="inlineStr">
        <is>
          <t>SC</t>
        </is>
      </c>
      <c r="E358" t="n">
        <v>1618</v>
      </c>
      <c r="F358" t="n">
        <v>2216</v>
      </c>
      <c r="G358" t="n">
        <v>67.63</v>
      </c>
      <c r="H358" t="n">
        <v>1</v>
      </c>
      <c r="I358" t="n">
        <v>2200</v>
      </c>
      <c r="J358" t="n">
        <v>1.01</v>
      </c>
      <c r="K358" t="n">
        <v>1</v>
      </c>
      <c r="L358" t="inlineStr">
        <is>
          <t>Balanced</t>
        </is>
      </c>
    </row>
    <row r="359">
      <c r="A359" t="inlineStr">
        <is>
          <t>CON-356</t>
        </is>
      </c>
      <c r="B359" t="inlineStr">
        <is>
          <t>Tamil Nadu</t>
        </is>
      </c>
      <c r="C359" t="inlineStr">
        <is>
          <t>Tamil_Dist_356</t>
        </is>
      </c>
      <c r="D359" t="inlineStr">
        <is>
          <t>General</t>
        </is>
      </c>
      <c r="E359" t="n">
        <v>1235</v>
      </c>
      <c r="F359" t="n">
        <v>1578</v>
      </c>
      <c r="G359" t="n">
        <v>75.08</v>
      </c>
      <c r="H359" t="n">
        <v>1</v>
      </c>
      <c r="I359" t="n">
        <v>2200</v>
      </c>
      <c r="J359" t="n">
        <v>0.72</v>
      </c>
      <c r="K359" t="n">
        <v>28</v>
      </c>
      <c r="L359" t="inlineStr">
        <is>
          <t>Over-represented</t>
        </is>
      </c>
    </row>
    <row r="360">
      <c r="A360" t="inlineStr">
        <is>
          <t>CON-357</t>
        </is>
      </c>
      <c r="B360" t="inlineStr">
        <is>
          <t>Karnataka</t>
        </is>
      </c>
      <c r="C360" t="inlineStr">
        <is>
          <t>Karnataka_Dist_357</t>
        </is>
      </c>
      <c r="D360" t="inlineStr">
        <is>
          <t>General</t>
        </is>
      </c>
      <c r="E360" t="n">
        <v>1361</v>
      </c>
      <c r="F360" t="n">
        <v>2245</v>
      </c>
      <c r="G360" t="n">
        <v>83.20999999999999</v>
      </c>
      <c r="H360" t="n">
        <v>1</v>
      </c>
      <c r="I360" t="n">
        <v>2200</v>
      </c>
      <c r="J360" t="n">
        <v>1.02</v>
      </c>
      <c r="K360" t="n">
        <v>2</v>
      </c>
      <c r="L360" t="inlineStr">
        <is>
          <t>Balanced</t>
        </is>
      </c>
    </row>
    <row r="361">
      <c r="A361" t="inlineStr">
        <is>
          <t>CON-358</t>
        </is>
      </c>
      <c r="B361" t="inlineStr">
        <is>
          <t>Andhra Pradesh</t>
        </is>
      </c>
      <c r="C361" t="inlineStr">
        <is>
          <t>Andhra_Dist_358</t>
        </is>
      </c>
      <c r="D361" t="inlineStr">
        <is>
          <t>General</t>
        </is>
      </c>
      <c r="E361" t="n">
        <v>2951</v>
      </c>
      <c r="F361" t="n">
        <v>4753</v>
      </c>
      <c r="G361" t="n">
        <v>61.96</v>
      </c>
      <c r="H361" t="n">
        <v>1</v>
      </c>
      <c r="I361" t="n">
        <v>2200</v>
      </c>
      <c r="J361" t="n">
        <v>2.16</v>
      </c>
      <c r="K361" t="n">
        <v>116</v>
      </c>
      <c r="L361" t="inlineStr">
        <is>
          <t>Under-represented</t>
        </is>
      </c>
    </row>
    <row r="362">
      <c r="A362" t="inlineStr">
        <is>
          <t>CON-359</t>
        </is>
      </c>
      <c r="B362" t="inlineStr">
        <is>
          <t>Uttar Pradesh</t>
        </is>
      </c>
      <c r="C362" t="inlineStr">
        <is>
          <t>Uttar_Dist_359</t>
        </is>
      </c>
      <c r="D362" t="inlineStr">
        <is>
          <t>General</t>
        </is>
      </c>
      <c r="E362" t="n">
        <v>3754</v>
      </c>
      <c r="F362" t="n">
        <v>6419</v>
      </c>
      <c r="G362" t="n">
        <v>79.16</v>
      </c>
      <c r="H362" t="n">
        <v>1</v>
      </c>
      <c r="I362" t="n">
        <v>2200</v>
      </c>
      <c r="J362" t="n">
        <v>2.92</v>
      </c>
      <c r="K362" t="n">
        <v>192</v>
      </c>
      <c r="L362" t="inlineStr">
        <is>
          <t>Under-represented</t>
        </is>
      </c>
    </row>
    <row r="363">
      <c r="A363" t="inlineStr">
        <is>
          <t>CON-360</t>
        </is>
      </c>
      <c r="B363" t="inlineStr">
        <is>
          <t>Telangana</t>
        </is>
      </c>
      <c r="C363" t="inlineStr">
        <is>
          <t>Telangana_Dist_360</t>
        </is>
      </c>
      <c r="D363" t="inlineStr">
        <is>
          <t>SC</t>
        </is>
      </c>
      <c r="E363" t="n">
        <v>3299</v>
      </c>
      <c r="F363" t="n">
        <v>4779</v>
      </c>
      <c r="G363" t="n">
        <v>62.32</v>
      </c>
      <c r="H363" t="n">
        <v>1</v>
      </c>
      <c r="I363" t="n">
        <v>2200</v>
      </c>
      <c r="J363" t="n">
        <v>2.17</v>
      </c>
      <c r="K363" t="n">
        <v>117</v>
      </c>
      <c r="L363" t="inlineStr">
        <is>
          <t>Under-represented</t>
        </is>
      </c>
    </row>
    <row r="364">
      <c r="A364" t="inlineStr">
        <is>
          <t>CON-361</t>
        </is>
      </c>
      <c r="B364" t="inlineStr">
        <is>
          <t>Gujarat</t>
        </is>
      </c>
      <c r="C364" t="inlineStr">
        <is>
          <t>Gujarat_Dist_361</t>
        </is>
      </c>
      <c r="D364" t="inlineStr">
        <is>
          <t>General</t>
        </is>
      </c>
      <c r="E364" t="n">
        <v>1368</v>
      </c>
      <c r="F364" t="n">
        <v>1894</v>
      </c>
      <c r="G364" t="n">
        <v>53.52</v>
      </c>
      <c r="H364" t="n">
        <v>1</v>
      </c>
      <c r="I364" t="n">
        <v>2200</v>
      </c>
      <c r="J364" t="n">
        <v>0.86</v>
      </c>
      <c r="K364" t="n">
        <v>14</v>
      </c>
      <c r="L364" t="inlineStr">
        <is>
          <t>Balanced</t>
        </is>
      </c>
    </row>
    <row r="365">
      <c r="A365" t="inlineStr">
        <is>
          <t>CON-362</t>
        </is>
      </c>
      <c r="B365" t="inlineStr">
        <is>
          <t>Tamil Nadu</t>
        </is>
      </c>
      <c r="C365" t="inlineStr">
        <is>
          <t>Tamil_Dist_362</t>
        </is>
      </c>
      <c r="D365" t="inlineStr">
        <is>
          <t>ST</t>
        </is>
      </c>
      <c r="E365" t="n">
        <v>3579</v>
      </c>
      <c r="F365" t="n">
        <v>5153</v>
      </c>
      <c r="G365" t="n">
        <v>75.48</v>
      </c>
      <c r="H365" t="n">
        <v>1</v>
      </c>
      <c r="I365" t="n">
        <v>2200</v>
      </c>
      <c r="J365" t="n">
        <v>2.34</v>
      </c>
      <c r="K365" t="n">
        <v>134</v>
      </c>
      <c r="L365" t="inlineStr">
        <is>
          <t>Under-represented</t>
        </is>
      </c>
    </row>
    <row r="366">
      <c r="A366" t="inlineStr">
        <is>
          <t>CON-363</t>
        </is>
      </c>
      <c r="B366" t="inlineStr">
        <is>
          <t>Telangana</t>
        </is>
      </c>
      <c r="C366" t="inlineStr">
        <is>
          <t>Telangana_Dist_363</t>
        </is>
      </c>
      <c r="D366" t="inlineStr">
        <is>
          <t>SC</t>
        </is>
      </c>
      <c r="E366" t="n">
        <v>3521</v>
      </c>
      <c r="F366" t="n">
        <v>5675</v>
      </c>
      <c r="G366" t="n">
        <v>53.28</v>
      </c>
      <c r="H366" t="n">
        <v>1</v>
      </c>
      <c r="I366" t="n">
        <v>2200</v>
      </c>
      <c r="J366" t="n">
        <v>2.58</v>
      </c>
      <c r="K366" t="n">
        <v>158</v>
      </c>
      <c r="L366" t="inlineStr">
        <is>
          <t>Under-represented</t>
        </is>
      </c>
    </row>
    <row r="367">
      <c r="A367" t="inlineStr">
        <is>
          <t>CON-364</t>
        </is>
      </c>
      <c r="B367" t="inlineStr">
        <is>
          <t>Gujarat</t>
        </is>
      </c>
      <c r="C367" t="inlineStr">
        <is>
          <t>Gujarat_Dist_364</t>
        </is>
      </c>
      <c r="D367" t="inlineStr">
        <is>
          <t>General</t>
        </is>
      </c>
      <c r="E367" t="n">
        <v>1842</v>
      </c>
      <c r="F367" t="n">
        <v>2412</v>
      </c>
      <c r="G367" t="n">
        <v>83.28</v>
      </c>
      <c r="H367" t="n">
        <v>1</v>
      </c>
      <c r="I367" t="n">
        <v>2200</v>
      </c>
      <c r="J367" t="n">
        <v>1.1</v>
      </c>
      <c r="K367" t="n">
        <v>10</v>
      </c>
      <c r="L367" t="inlineStr">
        <is>
          <t>Balanced</t>
        </is>
      </c>
    </row>
    <row r="368">
      <c r="A368" t="inlineStr">
        <is>
          <t>CON-365</t>
        </is>
      </c>
      <c r="B368" t="inlineStr">
        <is>
          <t>Maharashtra</t>
        </is>
      </c>
      <c r="C368" t="inlineStr">
        <is>
          <t>Maharashtra_Dist_365</t>
        </is>
      </c>
      <c r="D368" t="inlineStr">
        <is>
          <t>General</t>
        </is>
      </c>
      <c r="E368" t="n">
        <v>3276</v>
      </c>
      <c r="F368" t="n">
        <v>5709</v>
      </c>
      <c r="G368" t="n">
        <v>70.47</v>
      </c>
      <c r="H368" t="n">
        <v>1</v>
      </c>
      <c r="I368" t="n">
        <v>2200</v>
      </c>
      <c r="J368" t="n">
        <v>2.6</v>
      </c>
      <c r="K368" t="n">
        <v>160</v>
      </c>
      <c r="L368" t="inlineStr">
        <is>
          <t>Under-represented</t>
        </is>
      </c>
    </row>
    <row r="369">
      <c r="A369" t="inlineStr">
        <is>
          <t>CON-366</t>
        </is>
      </c>
      <c r="B369" t="inlineStr">
        <is>
          <t>Kerala</t>
        </is>
      </c>
      <c r="C369" t="inlineStr">
        <is>
          <t>Kerala_Dist_366</t>
        </is>
      </c>
      <c r="D369" t="inlineStr">
        <is>
          <t>SC</t>
        </is>
      </c>
      <c r="E369" t="n">
        <v>1703</v>
      </c>
      <c r="F369" t="n">
        <v>2161</v>
      </c>
      <c r="G369" t="n">
        <v>75.45999999999999</v>
      </c>
      <c r="H369" t="n">
        <v>1</v>
      </c>
      <c r="I369" t="n">
        <v>2200</v>
      </c>
      <c r="J369" t="n">
        <v>0.98</v>
      </c>
      <c r="K369" t="n">
        <v>2</v>
      </c>
      <c r="L369" t="inlineStr">
        <is>
          <t>Balanced</t>
        </is>
      </c>
    </row>
    <row r="370">
      <c r="A370" t="inlineStr">
        <is>
          <t>CON-367</t>
        </is>
      </c>
      <c r="B370" t="inlineStr">
        <is>
          <t>Bihar</t>
        </is>
      </c>
      <c r="C370" t="inlineStr">
        <is>
          <t>Bihar_Dist_367</t>
        </is>
      </c>
      <c r="D370" t="inlineStr">
        <is>
          <t>SC</t>
        </is>
      </c>
      <c r="E370" t="n">
        <v>2255</v>
      </c>
      <c r="F370" t="n">
        <v>2938</v>
      </c>
      <c r="G370" t="n">
        <v>64.01000000000001</v>
      </c>
      <c r="H370" t="n">
        <v>1</v>
      </c>
      <c r="I370" t="n">
        <v>2200</v>
      </c>
      <c r="J370" t="n">
        <v>1.34</v>
      </c>
      <c r="K370" t="n">
        <v>34</v>
      </c>
      <c r="L370" t="inlineStr">
        <is>
          <t>Under-represented</t>
        </is>
      </c>
    </row>
    <row r="371">
      <c r="A371" t="inlineStr">
        <is>
          <t>CON-368</t>
        </is>
      </c>
      <c r="B371" t="inlineStr">
        <is>
          <t>Kerala</t>
        </is>
      </c>
      <c r="C371" t="inlineStr">
        <is>
          <t>Kerala_Dist_368</t>
        </is>
      </c>
      <c r="D371" t="inlineStr">
        <is>
          <t>General</t>
        </is>
      </c>
      <c r="E371" t="n">
        <v>3095</v>
      </c>
      <c r="F371" t="n">
        <v>4438</v>
      </c>
      <c r="G371" t="n">
        <v>80.27</v>
      </c>
      <c r="H371" t="n">
        <v>1</v>
      </c>
      <c r="I371" t="n">
        <v>2200</v>
      </c>
      <c r="J371" t="n">
        <v>2.02</v>
      </c>
      <c r="K371" t="n">
        <v>102</v>
      </c>
      <c r="L371" t="inlineStr">
        <is>
          <t>Under-represented</t>
        </is>
      </c>
    </row>
    <row r="372">
      <c r="A372" t="inlineStr">
        <is>
          <t>CON-369</t>
        </is>
      </c>
      <c r="B372" t="inlineStr">
        <is>
          <t>Karnataka</t>
        </is>
      </c>
      <c r="C372" t="inlineStr">
        <is>
          <t>Karnataka_Dist_369</t>
        </is>
      </c>
      <c r="D372" t="inlineStr">
        <is>
          <t>General</t>
        </is>
      </c>
      <c r="E372" t="n">
        <v>2746</v>
      </c>
      <c r="F372" t="n">
        <v>4086</v>
      </c>
      <c r="G372" t="n">
        <v>60.54</v>
      </c>
      <c r="H372" t="n">
        <v>1</v>
      </c>
      <c r="I372" t="n">
        <v>2200</v>
      </c>
      <c r="J372" t="n">
        <v>1.86</v>
      </c>
      <c r="K372" t="n">
        <v>86</v>
      </c>
      <c r="L372" t="inlineStr">
        <is>
          <t>Under-represented</t>
        </is>
      </c>
    </row>
    <row r="373">
      <c r="A373" t="inlineStr">
        <is>
          <t>CON-370</t>
        </is>
      </c>
      <c r="B373" t="inlineStr">
        <is>
          <t>Uttar Pradesh</t>
        </is>
      </c>
      <c r="C373" t="inlineStr">
        <is>
          <t>Uttar_Dist_370</t>
        </is>
      </c>
      <c r="D373" t="inlineStr">
        <is>
          <t>SC</t>
        </is>
      </c>
      <c r="E373" t="n">
        <v>2112</v>
      </c>
      <c r="F373" t="n">
        <v>3480</v>
      </c>
      <c r="G373" t="n">
        <v>66.12</v>
      </c>
      <c r="H373" t="n">
        <v>1</v>
      </c>
      <c r="I373" t="n">
        <v>2200</v>
      </c>
      <c r="J373" t="n">
        <v>1.58</v>
      </c>
      <c r="K373" t="n">
        <v>58</v>
      </c>
      <c r="L373" t="inlineStr">
        <is>
          <t>Under-represented</t>
        </is>
      </c>
    </row>
    <row r="374">
      <c r="A374" t="inlineStr">
        <is>
          <t>CON-371</t>
        </is>
      </c>
      <c r="B374" t="inlineStr">
        <is>
          <t>Andhra Pradesh</t>
        </is>
      </c>
      <c r="C374" t="inlineStr">
        <is>
          <t>Andhra_Dist_371</t>
        </is>
      </c>
      <c r="D374" t="inlineStr">
        <is>
          <t>General</t>
        </is>
      </c>
      <c r="E374" t="n">
        <v>3601</v>
      </c>
      <c r="F374" t="n">
        <v>4843</v>
      </c>
      <c r="G374" t="n">
        <v>80.69</v>
      </c>
      <c r="H374" t="n">
        <v>1</v>
      </c>
      <c r="I374" t="n">
        <v>2200</v>
      </c>
      <c r="J374" t="n">
        <v>2.2</v>
      </c>
      <c r="K374" t="n">
        <v>120</v>
      </c>
      <c r="L374" t="inlineStr">
        <is>
          <t>Under-represented</t>
        </is>
      </c>
    </row>
    <row r="375">
      <c r="A375" t="inlineStr">
        <is>
          <t>CON-372</t>
        </is>
      </c>
      <c r="B375" t="inlineStr">
        <is>
          <t>Bihar</t>
        </is>
      </c>
      <c r="C375" t="inlineStr">
        <is>
          <t>Bihar_Dist_372</t>
        </is>
      </c>
      <c r="D375" t="inlineStr">
        <is>
          <t>General</t>
        </is>
      </c>
      <c r="E375" t="n">
        <v>2413</v>
      </c>
      <c r="F375" t="n">
        <v>3427</v>
      </c>
      <c r="G375" t="n">
        <v>81.77</v>
      </c>
      <c r="H375" t="n">
        <v>1</v>
      </c>
      <c r="I375" t="n">
        <v>2200</v>
      </c>
      <c r="J375" t="n">
        <v>1.56</v>
      </c>
      <c r="K375" t="n">
        <v>56</v>
      </c>
      <c r="L375" t="inlineStr">
        <is>
          <t>Under-represented</t>
        </is>
      </c>
    </row>
    <row r="376">
      <c r="A376" t="inlineStr">
        <is>
          <t>CON-373</t>
        </is>
      </c>
      <c r="B376" t="inlineStr">
        <is>
          <t>Uttar Pradesh</t>
        </is>
      </c>
      <c r="C376" t="inlineStr">
        <is>
          <t>Uttar_Dist_373</t>
        </is>
      </c>
      <c r="D376" t="inlineStr">
        <is>
          <t>General</t>
        </is>
      </c>
      <c r="E376" t="n">
        <v>1549</v>
      </c>
      <c r="F376" t="n">
        <v>2437</v>
      </c>
      <c r="G376" t="n">
        <v>61.21</v>
      </c>
      <c r="H376" t="n">
        <v>1</v>
      </c>
      <c r="I376" t="n">
        <v>2200</v>
      </c>
      <c r="J376" t="n">
        <v>1.11</v>
      </c>
      <c r="K376" t="n">
        <v>11</v>
      </c>
      <c r="L376" t="inlineStr">
        <is>
          <t>Balanced</t>
        </is>
      </c>
    </row>
    <row r="377">
      <c r="A377" t="inlineStr">
        <is>
          <t>CON-374</t>
        </is>
      </c>
      <c r="B377" t="inlineStr">
        <is>
          <t>Maharashtra</t>
        </is>
      </c>
      <c r="C377" t="inlineStr">
        <is>
          <t>Maharashtra_Dist_374</t>
        </is>
      </c>
      <c r="D377" t="inlineStr">
        <is>
          <t>General</t>
        </is>
      </c>
      <c r="E377" t="n">
        <v>2786</v>
      </c>
      <c r="F377" t="n">
        <v>4711</v>
      </c>
      <c r="G377" t="n">
        <v>65.64</v>
      </c>
      <c r="H377" t="n">
        <v>1</v>
      </c>
      <c r="I377" t="n">
        <v>2200</v>
      </c>
      <c r="J377" t="n">
        <v>2.14</v>
      </c>
      <c r="K377" t="n">
        <v>114</v>
      </c>
      <c r="L377" t="inlineStr">
        <is>
          <t>Under-represented</t>
        </is>
      </c>
    </row>
    <row r="378">
      <c r="A378" t="inlineStr">
        <is>
          <t>CON-375</t>
        </is>
      </c>
      <c r="B378" t="inlineStr">
        <is>
          <t>Kerala</t>
        </is>
      </c>
      <c r="C378" t="inlineStr">
        <is>
          <t>Kerala_Dist_375</t>
        </is>
      </c>
      <c r="D378" t="inlineStr">
        <is>
          <t>SC</t>
        </is>
      </c>
      <c r="E378" t="n">
        <v>2993</v>
      </c>
      <c r="F378" t="n">
        <v>3982</v>
      </c>
      <c r="G378" t="n">
        <v>63.14</v>
      </c>
      <c r="H378" t="n">
        <v>1</v>
      </c>
      <c r="I378" t="n">
        <v>2200</v>
      </c>
      <c r="J378" t="n">
        <v>1.81</v>
      </c>
      <c r="K378" t="n">
        <v>81</v>
      </c>
      <c r="L378" t="inlineStr">
        <is>
          <t>Under-represented</t>
        </is>
      </c>
    </row>
    <row r="379">
      <c r="A379" t="inlineStr">
        <is>
          <t>CON-376</t>
        </is>
      </c>
      <c r="B379" t="inlineStr">
        <is>
          <t>Telangana</t>
        </is>
      </c>
      <c r="C379" t="inlineStr">
        <is>
          <t>Telangana_Dist_376</t>
        </is>
      </c>
      <c r="D379" t="inlineStr">
        <is>
          <t>SC</t>
        </is>
      </c>
      <c r="E379" t="n">
        <v>1812</v>
      </c>
      <c r="F379" t="n">
        <v>2540</v>
      </c>
      <c r="G379" t="n">
        <v>57.78</v>
      </c>
      <c r="H379" t="n">
        <v>1</v>
      </c>
      <c r="I379" t="n">
        <v>2200</v>
      </c>
      <c r="J379" t="n">
        <v>1.15</v>
      </c>
      <c r="K379" t="n">
        <v>15</v>
      </c>
      <c r="L379" t="inlineStr">
        <is>
          <t>Balanced</t>
        </is>
      </c>
    </row>
    <row r="380">
      <c r="A380" t="inlineStr">
        <is>
          <t>CON-377</t>
        </is>
      </c>
      <c r="B380" t="inlineStr">
        <is>
          <t>Kerala</t>
        </is>
      </c>
      <c r="C380" t="inlineStr">
        <is>
          <t>Kerala_Dist_377</t>
        </is>
      </c>
      <c r="D380" t="inlineStr">
        <is>
          <t>General</t>
        </is>
      </c>
      <c r="E380" t="n">
        <v>2484</v>
      </c>
      <c r="F380" t="n">
        <v>3775</v>
      </c>
      <c r="G380" t="n">
        <v>64.38</v>
      </c>
      <c r="H380" t="n">
        <v>1</v>
      </c>
      <c r="I380" t="n">
        <v>2200</v>
      </c>
      <c r="J380" t="n">
        <v>1.72</v>
      </c>
      <c r="K380" t="n">
        <v>72</v>
      </c>
      <c r="L380" t="inlineStr">
        <is>
          <t>Under-represented</t>
        </is>
      </c>
    </row>
    <row r="381">
      <c r="A381" t="inlineStr">
        <is>
          <t>CON-378</t>
        </is>
      </c>
      <c r="B381" t="inlineStr">
        <is>
          <t>Andhra Pradesh</t>
        </is>
      </c>
      <c r="C381" t="inlineStr">
        <is>
          <t>Andhra_Dist_378</t>
        </is>
      </c>
      <c r="D381" t="inlineStr">
        <is>
          <t>General</t>
        </is>
      </c>
      <c r="E381" t="n">
        <v>2985</v>
      </c>
      <c r="F381" t="n">
        <v>4931</v>
      </c>
      <c r="G381" t="n">
        <v>64.59999999999999</v>
      </c>
      <c r="H381" t="n">
        <v>1</v>
      </c>
      <c r="I381" t="n">
        <v>2200</v>
      </c>
      <c r="J381" t="n">
        <v>2.24</v>
      </c>
      <c r="K381" t="n">
        <v>124</v>
      </c>
      <c r="L381" t="inlineStr">
        <is>
          <t>Under-represented</t>
        </is>
      </c>
    </row>
    <row r="382">
      <c r="A382" t="inlineStr">
        <is>
          <t>CON-379</t>
        </is>
      </c>
      <c r="B382" t="inlineStr">
        <is>
          <t>Maharashtra</t>
        </is>
      </c>
      <c r="C382" t="inlineStr">
        <is>
          <t>Maharashtra_Dist_379</t>
        </is>
      </c>
      <c r="D382" t="inlineStr">
        <is>
          <t>General</t>
        </is>
      </c>
      <c r="E382" t="n">
        <v>3285</v>
      </c>
      <c r="F382" t="n">
        <v>5659</v>
      </c>
      <c r="G382" t="n">
        <v>65.41</v>
      </c>
      <c r="H382" t="n">
        <v>1</v>
      </c>
      <c r="I382" t="n">
        <v>2200</v>
      </c>
      <c r="J382" t="n">
        <v>2.57</v>
      </c>
      <c r="K382" t="n">
        <v>157</v>
      </c>
      <c r="L382" t="inlineStr">
        <is>
          <t>Under-represented</t>
        </is>
      </c>
    </row>
    <row r="383">
      <c r="A383" t="inlineStr">
        <is>
          <t>CON-380</t>
        </is>
      </c>
      <c r="B383" t="inlineStr">
        <is>
          <t>Maharashtra</t>
        </is>
      </c>
      <c r="C383" t="inlineStr">
        <is>
          <t>Maharashtra_Dist_380</t>
        </is>
      </c>
      <c r="D383" t="inlineStr">
        <is>
          <t>General</t>
        </is>
      </c>
      <c r="E383" t="n">
        <v>1488</v>
      </c>
      <c r="F383" t="n">
        <v>2475</v>
      </c>
      <c r="G383" t="n">
        <v>54.44</v>
      </c>
      <c r="H383" t="n">
        <v>1</v>
      </c>
      <c r="I383" t="n">
        <v>2200</v>
      </c>
      <c r="J383" t="n">
        <v>1.12</v>
      </c>
      <c r="K383" t="n">
        <v>12</v>
      </c>
      <c r="L383" t="inlineStr">
        <is>
          <t>Balanced</t>
        </is>
      </c>
    </row>
    <row r="384">
      <c r="A384" t="inlineStr">
        <is>
          <t>CON-381</t>
        </is>
      </c>
      <c r="B384" t="inlineStr">
        <is>
          <t>West Bengal</t>
        </is>
      </c>
      <c r="C384" t="inlineStr">
        <is>
          <t>West_Dist_381</t>
        </is>
      </c>
      <c r="D384" t="inlineStr">
        <is>
          <t>General</t>
        </is>
      </c>
      <c r="E384" t="n">
        <v>2571</v>
      </c>
      <c r="F384" t="n">
        <v>3242</v>
      </c>
      <c r="G384" t="n">
        <v>68.56999999999999</v>
      </c>
      <c r="H384" t="n">
        <v>1</v>
      </c>
      <c r="I384" t="n">
        <v>2200</v>
      </c>
      <c r="J384" t="n">
        <v>1.47</v>
      </c>
      <c r="K384" t="n">
        <v>47</v>
      </c>
      <c r="L384" t="inlineStr">
        <is>
          <t>Under-represented</t>
        </is>
      </c>
    </row>
    <row r="385">
      <c r="A385" t="inlineStr">
        <is>
          <t>CON-382</t>
        </is>
      </c>
      <c r="B385" t="inlineStr">
        <is>
          <t>Kerala</t>
        </is>
      </c>
      <c r="C385" t="inlineStr">
        <is>
          <t>Kerala_Dist_382</t>
        </is>
      </c>
      <c r="D385" t="inlineStr">
        <is>
          <t>General</t>
        </is>
      </c>
      <c r="E385" t="n">
        <v>3390</v>
      </c>
      <c r="F385" t="n">
        <v>5600</v>
      </c>
      <c r="G385" t="n">
        <v>66.79000000000001</v>
      </c>
      <c r="H385" t="n">
        <v>1</v>
      </c>
      <c r="I385" t="n">
        <v>2200</v>
      </c>
      <c r="J385" t="n">
        <v>2.55</v>
      </c>
      <c r="K385" t="n">
        <v>155</v>
      </c>
      <c r="L385" t="inlineStr">
        <is>
          <t>Under-represented</t>
        </is>
      </c>
    </row>
    <row r="386">
      <c r="A386" t="inlineStr">
        <is>
          <t>CON-383</t>
        </is>
      </c>
      <c r="B386" t="inlineStr">
        <is>
          <t>West Bengal</t>
        </is>
      </c>
      <c r="C386" t="inlineStr">
        <is>
          <t>West_Dist_383</t>
        </is>
      </c>
      <c r="D386" t="inlineStr">
        <is>
          <t>General</t>
        </is>
      </c>
      <c r="E386" t="n">
        <v>3128</v>
      </c>
      <c r="F386" t="n">
        <v>3916</v>
      </c>
      <c r="G386" t="n">
        <v>64.98999999999999</v>
      </c>
      <c r="H386" t="n">
        <v>1</v>
      </c>
      <c r="I386" t="n">
        <v>2200</v>
      </c>
      <c r="J386" t="n">
        <v>1.78</v>
      </c>
      <c r="K386" t="n">
        <v>78</v>
      </c>
      <c r="L386" t="inlineStr">
        <is>
          <t>Under-represented</t>
        </is>
      </c>
    </row>
    <row r="387">
      <c r="A387" t="inlineStr">
        <is>
          <t>CON-384</t>
        </is>
      </c>
      <c r="B387" t="inlineStr">
        <is>
          <t>Gujarat</t>
        </is>
      </c>
      <c r="C387" t="inlineStr">
        <is>
          <t>Gujarat_Dist_384</t>
        </is>
      </c>
      <c r="D387" t="inlineStr">
        <is>
          <t>SC</t>
        </is>
      </c>
      <c r="E387" t="n">
        <v>2015</v>
      </c>
      <c r="F387" t="n">
        <v>3029</v>
      </c>
      <c r="G387" t="n">
        <v>73.20999999999999</v>
      </c>
      <c r="H387" t="n">
        <v>1</v>
      </c>
      <c r="I387" t="n">
        <v>2200</v>
      </c>
      <c r="J387" t="n">
        <v>1.38</v>
      </c>
      <c r="K387" t="n">
        <v>38</v>
      </c>
      <c r="L387" t="inlineStr">
        <is>
          <t>Under-represented</t>
        </is>
      </c>
    </row>
    <row r="388">
      <c r="A388" t="inlineStr">
        <is>
          <t>CON-385</t>
        </is>
      </c>
      <c r="B388" t="inlineStr">
        <is>
          <t>Kerala</t>
        </is>
      </c>
      <c r="C388" t="inlineStr">
        <is>
          <t>Kerala_Dist_385</t>
        </is>
      </c>
      <c r="D388" t="inlineStr">
        <is>
          <t>General</t>
        </is>
      </c>
      <c r="E388" t="n">
        <v>3284</v>
      </c>
      <c r="F388" t="n">
        <v>4171</v>
      </c>
      <c r="G388" t="n">
        <v>54.64</v>
      </c>
      <c r="H388" t="n">
        <v>1</v>
      </c>
      <c r="I388" t="n">
        <v>2200</v>
      </c>
      <c r="J388" t="n">
        <v>1.9</v>
      </c>
      <c r="K388" t="n">
        <v>90</v>
      </c>
      <c r="L388" t="inlineStr">
        <is>
          <t>Under-represented</t>
        </is>
      </c>
    </row>
    <row r="389">
      <c r="A389" t="inlineStr">
        <is>
          <t>CON-386</t>
        </is>
      </c>
      <c r="B389" t="inlineStr">
        <is>
          <t>Uttar Pradesh</t>
        </is>
      </c>
      <c r="C389" t="inlineStr">
        <is>
          <t>Uttar_Dist_386</t>
        </is>
      </c>
      <c r="D389" t="inlineStr">
        <is>
          <t>General</t>
        </is>
      </c>
      <c r="E389" t="n">
        <v>1601</v>
      </c>
      <c r="F389" t="n">
        <v>2546</v>
      </c>
      <c r="G389" t="n">
        <v>83.26000000000001</v>
      </c>
      <c r="H389" t="n">
        <v>1</v>
      </c>
      <c r="I389" t="n">
        <v>2200</v>
      </c>
      <c r="J389" t="n">
        <v>1.16</v>
      </c>
      <c r="K389" t="n">
        <v>16</v>
      </c>
      <c r="L389" t="inlineStr">
        <is>
          <t>Balanced</t>
        </is>
      </c>
    </row>
    <row r="390">
      <c r="A390" t="inlineStr">
        <is>
          <t>CON-387</t>
        </is>
      </c>
      <c r="B390" t="inlineStr">
        <is>
          <t>Gujarat</t>
        </is>
      </c>
      <c r="C390" t="inlineStr">
        <is>
          <t>Gujarat_Dist_387</t>
        </is>
      </c>
      <c r="D390" t="inlineStr">
        <is>
          <t>General</t>
        </is>
      </c>
      <c r="E390" t="n">
        <v>2451</v>
      </c>
      <c r="F390" t="n">
        <v>4134</v>
      </c>
      <c r="G390" t="n">
        <v>71.98999999999999</v>
      </c>
      <c r="H390" t="n">
        <v>1</v>
      </c>
      <c r="I390" t="n">
        <v>2200</v>
      </c>
      <c r="J390" t="n">
        <v>1.88</v>
      </c>
      <c r="K390" t="n">
        <v>88</v>
      </c>
      <c r="L390" t="inlineStr">
        <is>
          <t>Under-represented</t>
        </is>
      </c>
    </row>
    <row r="391">
      <c r="A391" t="inlineStr">
        <is>
          <t>CON-388</t>
        </is>
      </c>
      <c r="B391" t="inlineStr">
        <is>
          <t>Bihar</t>
        </is>
      </c>
      <c r="C391" t="inlineStr">
        <is>
          <t>Bihar_Dist_388</t>
        </is>
      </c>
      <c r="D391" t="inlineStr">
        <is>
          <t>SC</t>
        </is>
      </c>
      <c r="E391" t="n">
        <v>2912</v>
      </c>
      <c r="F391" t="n">
        <v>3931</v>
      </c>
      <c r="G391" t="n">
        <v>66.01000000000001</v>
      </c>
      <c r="H391" t="n">
        <v>1</v>
      </c>
      <c r="I391" t="n">
        <v>2200</v>
      </c>
      <c r="J391" t="n">
        <v>1.79</v>
      </c>
      <c r="K391" t="n">
        <v>79</v>
      </c>
      <c r="L391" t="inlineStr">
        <is>
          <t>Under-represented</t>
        </is>
      </c>
    </row>
    <row r="392">
      <c r="A392" t="inlineStr">
        <is>
          <t>CON-389</t>
        </is>
      </c>
      <c r="B392" t="inlineStr">
        <is>
          <t>Gujarat</t>
        </is>
      </c>
      <c r="C392" t="inlineStr">
        <is>
          <t>Gujarat_Dist_389</t>
        </is>
      </c>
      <c r="D392" t="inlineStr">
        <is>
          <t>General</t>
        </is>
      </c>
      <c r="E392" t="n">
        <v>1814</v>
      </c>
      <c r="F392" t="n">
        <v>2354</v>
      </c>
      <c r="G392" t="n">
        <v>52.78</v>
      </c>
      <c r="H392" t="n">
        <v>1</v>
      </c>
      <c r="I392" t="n">
        <v>2200</v>
      </c>
      <c r="J392" t="n">
        <v>1.07</v>
      </c>
      <c r="K392" t="n">
        <v>7</v>
      </c>
      <c r="L392" t="inlineStr">
        <is>
          <t>Balanced</t>
        </is>
      </c>
    </row>
    <row r="393">
      <c r="A393" t="inlineStr">
        <is>
          <t>CON-390</t>
        </is>
      </c>
      <c r="B393" t="inlineStr">
        <is>
          <t>Tamil Nadu</t>
        </is>
      </c>
      <c r="C393" t="inlineStr">
        <is>
          <t>Tamil_Dist_390</t>
        </is>
      </c>
      <c r="D393" t="inlineStr">
        <is>
          <t>General</t>
        </is>
      </c>
      <c r="E393" t="n">
        <v>2928</v>
      </c>
      <c r="F393" t="n">
        <v>4819</v>
      </c>
      <c r="G393" t="n">
        <v>59.66</v>
      </c>
      <c r="H393" t="n">
        <v>1</v>
      </c>
      <c r="I393" t="n">
        <v>2200</v>
      </c>
      <c r="J393" t="n">
        <v>2.19</v>
      </c>
      <c r="K393" t="n">
        <v>119</v>
      </c>
      <c r="L393" t="inlineStr">
        <is>
          <t>Under-represented</t>
        </is>
      </c>
    </row>
    <row r="394">
      <c r="A394" t="inlineStr">
        <is>
          <t>CON-391</t>
        </is>
      </c>
      <c r="B394" t="inlineStr">
        <is>
          <t>Telangana</t>
        </is>
      </c>
      <c r="C394" t="inlineStr">
        <is>
          <t>Telangana_Dist_391</t>
        </is>
      </c>
      <c r="D394" t="inlineStr">
        <is>
          <t>General</t>
        </is>
      </c>
      <c r="E394" t="n">
        <v>2712</v>
      </c>
      <c r="F394" t="n">
        <v>3833</v>
      </c>
      <c r="G394" t="n">
        <v>84.12</v>
      </c>
      <c r="H394" t="n">
        <v>1</v>
      </c>
      <c r="I394" t="n">
        <v>2200</v>
      </c>
      <c r="J394" t="n">
        <v>1.74</v>
      </c>
      <c r="K394" t="n">
        <v>74</v>
      </c>
      <c r="L394" t="inlineStr">
        <is>
          <t>Under-represented</t>
        </is>
      </c>
    </row>
    <row r="395">
      <c r="A395" t="inlineStr">
        <is>
          <t>CON-392</t>
        </is>
      </c>
      <c r="B395" t="inlineStr">
        <is>
          <t>Gujarat</t>
        </is>
      </c>
      <c r="C395" t="inlineStr">
        <is>
          <t>Gujarat_Dist_392</t>
        </is>
      </c>
      <c r="D395" t="inlineStr">
        <is>
          <t>General</t>
        </is>
      </c>
      <c r="E395" t="n">
        <v>1510</v>
      </c>
      <c r="F395" t="n">
        <v>2045</v>
      </c>
      <c r="G395" t="n">
        <v>59.18</v>
      </c>
      <c r="H395" t="n">
        <v>1</v>
      </c>
      <c r="I395" t="n">
        <v>2200</v>
      </c>
      <c r="J395" t="n">
        <v>0.93</v>
      </c>
      <c r="K395" t="n">
        <v>7</v>
      </c>
      <c r="L395" t="inlineStr">
        <is>
          <t>Balanced</t>
        </is>
      </c>
    </row>
    <row r="396">
      <c r="A396" t="inlineStr">
        <is>
          <t>CON-393</t>
        </is>
      </c>
      <c r="B396" t="inlineStr">
        <is>
          <t>Tamil Nadu</t>
        </is>
      </c>
      <c r="C396" t="inlineStr">
        <is>
          <t>Tamil_Dist_393</t>
        </is>
      </c>
      <c r="D396" t="inlineStr">
        <is>
          <t>General</t>
        </is>
      </c>
      <c r="E396" t="n">
        <v>2839</v>
      </c>
      <c r="F396" t="n">
        <v>4630</v>
      </c>
      <c r="G396" t="n">
        <v>76.70999999999999</v>
      </c>
      <c r="H396" t="n">
        <v>1</v>
      </c>
      <c r="I396" t="n">
        <v>2200</v>
      </c>
      <c r="J396" t="n">
        <v>2.1</v>
      </c>
      <c r="K396" t="n">
        <v>110</v>
      </c>
      <c r="L396" t="inlineStr">
        <is>
          <t>Under-represented</t>
        </is>
      </c>
    </row>
    <row r="397">
      <c r="A397" t="inlineStr">
        <is>
          <t>CON-394</t>
        </is>
      </c>
      <c r="B397" t="inlineStr">
        <is>
          <t>Andhra Pradesh</t>
        </is>
      </c>
      <c r="C397" t="inlineStr">
        <is>
          <t>Andhra_Dist_394</t>
        </is>
      </c>
      <c r="D397" t="inlineStr">
        <is>
          <t>General</t>
        </is>
      </c>
      <c r="E397" t="n">
        <v>2394</v>
      </c>
      <c r="F397" t="n">
        <v>3542</v>
      </c>
      <c r="G397" t="n">
        <v>81.92</v>
      </c>
      <c r="H397" t="n">
        <v>1</v>
      </c>
      <c r="I397" t="n">
        <v>2200</v>
      </c>
      <c r="J397" t="n">
        <v>1.61</v>
      </c>
      <c r="K397" t="n">
        <v>61</v>
      </c>
      <c r="L397" t="inlineStr">
        <is>
          <t>Under-represented</t>
        </is>
      </c>
    </row>
    <row r="398">
      <c r="A398" t="inlineStr">
        <is>
          <t>CON-395</t>
        </is>
      </c>
      <c r="B398" t="inlineStr">
        <is>
          <t>West Bengal</t>
        </is>
      </c>
      <c r="C398" t="inlineStr">
        <is>
          <t>West_Dist_395</t>
        </is>
      </c>
      <c r="D398" t="inlineStr">
        <is>
          <t>General</t>
        </is>
      </c>
      <c r="E398" t="n">
        <v>3305</v>
      </c>
      <c r="F398" t="n">
        <v>5008</v>
      </c>
      <c r="G398" t="n">
        <v>59.67</v>
      </c>
      <c r="H398" t="n">
        <v>1</v>
      </c>
      <c r="I398" t="n">
        <v>2200</v>
      </c>
      <c r="J398" t="n">
        <v>2.28</v>
      </c>
      <c r="K398" t="n">
        <v>128</v>
      </c>
      <c r="L398" t="inlineStr">
        <is>
          <t>Under-represented</t>
        </is>
      </c>
    </row>
    <row r="399">
      <c r="A399" t="inlineStr">
        <is>
          <t>CON-396</t>
        </is>
      </c>
      <c r="B399" t="inlineStr">
        <is>
          <t>Tamil Nadu</t>
        </is>
      </c>
      <c r="C399" t="inlineStr">
        <is>
          <t>Tamil_Dist_396</t>
        </is>
      </c>
      <c r="D399" t="inlineStr">
        <is>
          <t>General</t>
        </is>
      </c>
      <c r="E399" t="n">
        <v>2650</v>
      </c>
      <c r="F399" t="n">
        <v>4332</v>
      </c>
      <c r="G399" t="n">
        <v>71.16</v>
      </c>
      <c r="H399" t="n">
        <v>1</v>
      </c>
      <c r="I399" t="n">
        <v>2200</v>
      </c>
      <c r="J399" t="n">
        <v>1.97</v>
      </c>
      <c r="K399" t="n">
        <v>97</v>
      </c>
      <c r="L399" t="inlineStr">
        <is>
          <t>Under-represented</t>
        </is>
      </c>
    </row>
    <row r="400">
      <c r="A400" t="inlineStr">
        <is>
          <t>CON-397</t>
        </is>
      </c>
      <c r="B400" t="inlineStr">
        <is>
          <t>Bihar</t>
        </is>
      </c>
      <c r="C400" t="inlineStr">
        <is>
          <t>Bihar_Dist_397</t>
        </is>
      </c>
      <c r="D400" t="inlineStr">
        <is>
          <t>General</t>
        </is>
      </c>
      <c r="E400" t="n">
        <v>3346</v>
      </c>
      <c r="F400" t="n">
        <v>4324</v>
      </c>
      <c r="G400" t="n">
        <v>80.51000000000001</v>
      </c>
      <c r="H400" t="n">
        <v>1</v>
      </c>
      <c r="I400" t="n">
        <v>2200</v>
      </c>
      <c r="J400" t="n">
        <v>1.97</v>
      </c>
      <c r="K400" t="n">
        <v>97</v>
      </c>
      <c r="L400" t="inlineStr">
        <is>
          <t>Under-represented</t>
        </is>
      </c>
    </row>
    <row r="401">
      <c r="A401" t="inlineStr">
        <is>
          <t>CON-398</t>
        </is>
      </c>
      <c r="B401" t="inlineStr">
        <is>
          <t>Maharashtra</t>
        </is>
      </c>
      <c r="C401" t="inlineStr">
        <is>
          <t>Maharashtra_Dist_398</t>
        </is>
      </c>
      <c r="D401" t="inlineStr">
        <is>
          <t>SC</t>
        </is>
      </c>
      <c r="E401" t="n">
        <v>2428</v>
      </c>
      <c r="F401" t="n">
        <v>3423</v>
      </c>
      <c r="G401" t="n">
        <v>82.65000000000001</v>
      </c>
      <c r="H401" t="n">
        <v>1</v>
      </c>
      <c r="I401" t="n">
        <v>2200</v>
      </c>
      <c r="J401" t="n">
        <v>1.56</v>
      </c>
      <c r="K401" t="n">
        <v>56</v>
      </c>
      <c r="L401" t="inlineStr">
        <is>
          <t>Under-represented</t>
        </is>
      </c>
    </row>
    <row r="402">
      <c r="A402" t="inlineStr">
        <is>
          <t>CON-399</t>
        </is>
      </c>
      <c r="B402" t="inlineStr">
        <is>
          <t>Telangana</t>
        </is>
      </c>
      <c r="C402" t="inlineStr">
        <is>
          <t>Telangana_Dist_399</t>
        </is>
      </c>
      <c r="D402" t="inlineStr">
        <is>
          <t>General</t>
        </is>
      </c>
      <c r="E402" t="n">
        <v>2178</v>
      </c>
      <c r="F402" t="n">
        <v>3494</v>
      </c>
      <c r="G402" t="n">
        <v>68.34</v>
      </c>
      <c r="H402" t="n">
        <v>1</v>
      </c>
      <c r="I402" t="n">
        <v>2200</v>
      </c>
      <c r="J402" t="n">
        <v>1.59</v>
      </c>
      <c r="K402" t="n">
        <v>59</v>
      </c>
      <c r="L402" t="inlineStr">
        <is>
          <t>Under-represented</t>
        </is>
      </c>
    </row>
    <row r="403">
      <c r="A403" t="inlineStr">
        <is>
          <t>CON-400</t>
        </is>
      </c>
      <c r="B403" t="inlineStr">
        <is>
          <t>Gujarat</t>
        </is>
      </c>
      <c r="C403" t="inlineStr">
        <is>
          <t>Gujarat_Dist_400</t>
        </is>
      </c>
      <c r="D403" t="inlineStr">
        <is>
          <t>General</t>
        </is>
      </c>
      <c r="E403" t="n">
        <v>2626</v>
      </c>
      <c r="F403" t="n">
        <v>3648</v>
      </c>
      <c r="G403" t="n">
        <v>81.98</v>
      </c>
      <c r="H403" t="n">
        <v>1</v>
      </c>
      <c r="I403" t="n">
        <v>2200</v>
      </c>
      <c r="J403" t="n">
        <v>1.66</v>
      </c>
      <c r="K403" t="n">
        <v>66</v>
      </c>
      <c r="L403" t="inlineStr">
        <is>
          <t>Under-represented</t>
        </is>
      </c>
    </row>
    <row r="404">
      <c r="A404" t="inlineStr">
        <is>
          <t>CON-401</t>
        </is>
      </c>
      <c r="B404" t="inlineStr">
        <is>
          <t>West Bengal</t>
        </is>
      </c>
      <c r="C404" t="inlineStr">
        <is>
          <t>West_Dist_401</t>
        </is>
      </c>
      <c r="D404" t="inlineStr">
        <is>
          <t>General</t>
        </is>
      </c>
      <c r="E404" t="n">
        <v>2887</v>
      </c>
      <c r="F404" t="n">
        <v>4842</v>
      </c>
      <c r="G404" t="n">
        <v>82.37</v>
      </c>
      <c r="H404" t="n">
        <v>1</v>
      </c>
      <c r="I404" t="n">
        <v>2200</v>
      </c>
      <c r="J404" t="n">
        <v>2.2</v>
      </c>
      <c r="K404" t="n">
        <v>120</v>
      </c>
      <c r="L404" t="inlineStr">
        <is>
          <t>Under-represented</t>
        </is>
      </c>
    </row>
    <row r="405">
      <c r="A405" t="inlineStr">
        <is>
          <t>CON-402</t>
        </is>
      </c>
      <c r="B405" t="inlineStr">
        <is>
          <t>Karnataka</t>
        </is>
      </c>
      <c r="C405" t="inlineStr">
        <is>
          <t>Karnataka_Dist_402</t>
        </is>
      </c>
      <c r="D405" t="inlineStr">
        <is>
          <t>General</t>
        </is>
      </c>
      <c r="E405" t="n">
        <v>2846</v>
      </c>
      <c r="F405" t="n">
        <v>4083</v>
      </c>
      <c r="G405" t="n">
        <v>84.36</v>
      </c>
      <c r="H405" t="n">
        <v>1</v>
      </c>
      <c r="I405" t="n">
        <v>2200</v>
      </c>
      <c r="J405" t="n">
        <v>1.86</v>
      </c>
      <c r="K405" t="n">
        <v>86</v>
      </c>
      <c r="L405" t="inlineStr">
        <is>
          <t>Under-represented</t>
        </is>
      </c>
    </row>
    <row r="406">
      <c r="A406" t="inlineStr">
        <is>
          <t>CON-403</t>
        </is>
      </c>
      <c r="B406" t="inlineStr">
        <is>
          <t>Gujarat</t>
        </is>
      </c>
      <c r="C406" t="inlineStr">
        <is>
          <t>Gujarat_Dist_403</t>
        </is>
      </c>
      <c r="D406" t="inlineStr">
        <is>
          <t>General</t>
        </is>
      </c>
      <c r="E406" t="n">
        <v>2441</v>
      </c>
      <c r="F406" t="n">
        <v>3916</v>
      </c>
      <c r="G406" t="n">
        <v>66.51000000000001</v>
      </c>
      <c r="H406" t="n">
        <v>1</v>
      </c>
      <c r="I406" t="n">
        <v>2200</v>
      </c>
      <c r="J406" t="n">
        <v>1.78</v>
      </c>
      <c r="K406" t="n">
        <v>78</v>
      </c>
      <c r="L406" t="inlineStr">
        <is>
          <t>Under-represented</t>
        </is>
      </c>
    </row>
    <row r="407">
      <c r="A407" t="inlineStr">
        <is>
          <t>CON-404</t>
        </is>
      </c>
      <c r="B407" t="inlineStr">
        <is>
          <t>West Bengal</t>
        </is>
      </c>
      <c r="C407" t="inlineStr">
        <is>
          <t>West_Dist_404</t>
        </is>
      </c>
      <c r="D407" t="inlineStr">
        <is>
          <t>General</t>
        </is>
      </c>
      <c r="E407" t="n">
        <v>1862</v>
      </c>
      <c r="F407" t="n">
        <v>2877</v>
      </c>
      <c r="G407" t="n">
        <v>52.27</v>
      </c>
      <c r="H407" t="n">
        <v>1</v>
      </c>
      <c r="I407" t="n">
        <v>2200</v>
      </c>
      <c r="J407" t="n">
        <v>1.31</v>
      </c>
      <c r="K407" t="n">
        <v>31</v>
      </c>
      <c r="L407" t="inlineStr">
        <is>
          <t>Under-represented</t>
        </is>
      </c>
    </row>
    <row r="408">
      <c r="A408" t="inlineStr">
        <is>
          <t>CON-405</t>
        </is>
      </c>
      <c r="B408" t="inlineStr">
        <is>
          <t>Maharashtra</t>
        </is>
      </c>
      <c r="C408" t="inlineStr">
        <is>
          <t>Maharashtra_Dist_405</t>
        </is>
      </c>
      <c r="D408" t="inlineStr">
        <is>
          <t>ST</t>
        </is>
      </c>
      <c r="E408" t="n">
        <v>3546</v>
      </c>
      <c r="F408" t="n">
        <v>5472</v>
      </c>
      <c r="G408" t="n">
        <v>55.75</v>
      </c>
      <c r="H408" t="n">
        <v>1</v>
      </c>
      <c r="I408" t="n">
        <v>2200</v>
      </c>
      <c r="J408" t="n">
        <v>2.49</v>
      </c>
      <c r="K408" t="n">
        <v>149</v>
      </c>
      <c r="L408" t="inlineStr">
        <is>
          <t>Under-represented</t>
        </is>
      </c>
    </row>
    <row r="409">
      <c r="A409" t="inlineStr">
        <is>
          <t>CON-406</t>
        </is>
      </c>
      <c r="B409" t="inlineStr">
        <is>
          <t>Tamil Nadu</t>
        </is>
      </c>
      <c r="C409" t="inlineStr">
        <is>
          <t>Tamil_Dist_406</t>
        </is>
      </c>
      <c r="D409" t="inlineStr">
        <is>
          <t>SC</t>
        </is>
      </c>
      <c r="E409" t="n">
        <v>3121</v>
      </c>
      <c r="F409" t="n">
        <v>4942</v>
      </c>
      <c r="G409" t="n">
        <v>70.66</v>
      </c>
      <c r="H409" t="n">
        <v>1</v>
      </c>
      <c r="I409" t="n">
        <v>2200</v>
      </c>
      <c r="J409" t="n">
        <v>2.25</v>
      </c>
      <c r="K409" t="n">
        <v>125</v>
      </c>
      <c r="L409" t="inlineStr">
        <is>
          <t>Under-represented</t>
        </is>
      </c>
    </row>
    <row r="410">
      <c r="A410" t="inlineStr">
        <is>
          <t>CON-407</t>
        </is>
      </c>
      <c r="B410" t="inlineStr">
        <is>
          <t>Kerala</t>
        </is>
      </c>
      <c r="C410" t="inlineStr">
        <is>
          <t>Kerala_Dist_407</t>
        </is>
      </c>
      <c r="D410" t="inlineStr">
        <is>
          <t>General</t>
        </is>
      </c>
      <c r="E410" t="n">
        <v>1655</v>
      </c>
      <c r="F410" t="n">
        <v>2878</v>
      </c>
      <c r="G410" t="n">
        <v>71.3</v>
      </c>
      <c r="H410" t="n">
        <v>1</v>
      </c>
      <c r="I410" t="n">
        <v>2200</v>
      </c>
      <c r="J410" t="n">
        <v>1.31</v>
      </c>
      <c r="K410" t="n">
        <v>31</v>
      </c>
      <c r="L410" t="inlineStr">
        <is>
          <t>Under-represented</t>
        </is>
      </c>
    </row>
    <row r="411">
      <c r="A411" t="inlineStr">
        <is>
          <t>CON-408</t>
        </is>
      </c>
      <c r="B411" t="inlineStr">
        <is>
          <t>Gujarat</t>
        </is>
      </c>
      <c r="C411" t="inlineStr">
        <is>
          <t>Gujarat_Dist_408</t>
        </is>
      </c>
      <c r="D411" t="inlineStr">
        <is>
          <t>SC</t>
        </is>
      </c>
      <c r="E411" t="n">
        <v>1402</v>
      </c>
      <c r="F411" t="n">
        <v>2343</v>
      </c>
      <c r="G411" t="n">
        <v>67.08</v>
      </c>
      <c r="H411" t="n">
        <v>1</v>
      </c>
      <c r="I411" t="n">
        <v>2200</v>
      </c>
      <c r="J411" t="n">
        <v>1.06</v>
      </c>
      <c r="K411" t="n">
        <v>6</v>
      </c>
      <c r="L411" t="inlineStr">
        <is>
          <t>Balanced</t>
        </is>
      </c>
    </row>
    <row r="412">
      <c r="A412" t="inlineStr">
        <is>
          <t>CON-409</t>
        </is>
      </c>
      <c r="B412" t="inlineStr">
        <is>
          <t>Gujarat</t>
        </is>
      </c>
      <c r="C412" t="inlineStr">
        <is>
          <t>Gujarat_Dist_409</t>
        </is>
      </c>
      <c r="D412" t="inlineStr">
        <is>
          <t>General</t>
        </is>
      </c>
      <c r="E412" t="n">
        <v>3301</v>
      </c>
      <c r="F412" t="n">
        <v>4500</v>
      </c>
      <c r="G412" t="n">
        <v>61.27</v>
      </c>
      <c r="H412" t="n">
        <v>1</v>
      </c>
      <c r="I412" t="n">
        <v>2200</v>
      </c>
      <c r="J412" t="n">
        <v>2.05</v>
      </c>
      <c r="K412" t="n">
        <v>105</v>
      </c>
      <c r="L412" t="inlineStr">
        <is>
          <t>Under-represented</t>
        </is>
      </c>
    </row>
    <row r="413">
      <c r="A413" t="inlineStr">
        <is>
          <t>CON-410</t>
        </is>
      </c>
      <c r="B413" t="inlineStr">
        <is>
          <t>Andhra Pradesh</t>
        </is>
      </c>
      <c r="C413" t="inlineStr">
        <is>
          <t>Andhra_Dist_410</t>
        </is>
      </c>
      <c r="D413" t="inlineStr">
        <is>
          <t>ST</t>
        </is>
      </c>
      <c r="E413" t="n">
        <v>3779</v>
      </c>
      <c r="F413" t="n">
        <v>6058</v>
      </c>
      <c r="G413" t="n">
        <v>63.23</v>
      </c>
      <c r="H413" t="n">
        <v>1</v>
      </c>
      <c r="I413" t="n">
        <v>2200</v>
      </c>
      <c r="J413" t="n">
        <v>2.75</v>
      </c>
      <c r="K413" t="n">
        <v>175</v>
      </c>
      <c r="L413" t="inlineStr">
        <is>
          <t>Under-represented</t>
        </is>
      </c>
    </row>
    <row r="414">
      <c r="A414" t="inlineStr">
        <is>
          <t>CON-411</t>
        </is>
      </c>
      <c r="B414" t="inlineStr">
        <is>
          <t>Gujarat</t>
        </is>
      </c>
      <c r="C414" t="inlineStr">
        <is>
          <t>Gujarat_Dist_411</t>
        </is>
      </c>
      <c r="D414" t="inlineStr">
        <is>
          <t>General</t>
        </is>
      </c>
      <c r="E414" t="n">
        <v>2050</v>
      </c>
      <c r="F414" t="n">
        <v>3377</v>
      </c>
      <c r="G414" t="n">
        <v>64.55</v>
      </c>
      <c r="H414" t="n">
        <v>1</v>
      </c>
      <c r="I414" t="n">
        <v>2200</v>
      </c>
      <c r="J414" t="n">
        <v>1.53</v>
      </c>
      <c r="K414" t="n">
        <v>53</v>
      </c>
      <c r="L414" t="inlineStr">
        <is>
          <t>Under-represented</t>
        </is>
      </c>
    </row>
    <row r="415">
      <c r="A415" t="inlineStr">
        <is>
          <t>CON-412</t>
        </is>
      </c>
      <c r="B415" t="inlineStr">
        <is>
          <t>Telangana</t>
        </is>
      </c>
      <c r="C415" t="inlineStr">
        <is>
          <t>Telangana_Dist_412</t>
        </is>
      </c>
      <c r="D415" t="inlineStr">
        <is>
          <t>General</t>
        </is>
      </c>
      <c r="E415" t="n">
        <v>2040</v>
      </c>
      <c r="F415" t="n">
        <v>3560</v>
      </c>
      <c r="G415" t="n">
        <v>59.84</v>
      </c>
      <c r="H415" t="n">
        <v>1</v>
      </c>
      <c r="I415" t="n">
        <v>2200</v>
      </c>
      <c r="J415" t="n">
        <v>1.62</v>
      </c>
      <c r="K415" t="n">
        <v>62</v>
      </c>
      <c r="L415" t="inlineStr">
        <is>
          <t>Under-represented</t>
        </is>
      </c>
    </row>
    <row r="416">
      <c r="A416" t="inlineStr">
        <is>
          <t>CON-413</t>
        </is>
      </c>
      <c r="B416" t="inlineStr">
        <is>
          <t>West Bengal</t>
        </is>
      </c>
      <c r="C416" t="inlineStr">
        <is>
          <t>West_Dist_413</t>
        </is>
      </c>
      <c r="D416" t="inlineStr">
        <is>
          <t>ST</t>
        </is>
      </c>
      <c r="E416" t="n">
        <v>1527</v>
      </c>
      <c r="F416" t="n">
        <v>2434</v>
      </c>
      <c r="G416" t="n">
        <v>78.95</v>
      </c>
      <c r="H416" t="n">
        <v>1</v>
      </c>
      <c r="I416" t="n">
        <v>2200</v>
      </c>
      <c r="J416" t="n">
        <v>1.11</v>
      </c>
      <c r="K416" t="n">
        <v>11</v>
      </c>
      <c r="L416" t="inlineStr">
        <is>
          <t>Balanced</t>
        </is>
      </c>
    </row>
    <row r="417">
      <c r="A417" t="inlineStr">
        <is>
          <t>CON-414</t>
        </is>
      </c>
      <c r="B417" t="inlineStr">
        <is>
          <t>Uttar Pradesh</t>
        </is>
      </c>
      <c r="C417" t="inlineStr">
        <is>
          <t>Uttar_Dist_414</t>
        </is>
      </c>
      <c r="D417" t="inlineStr">
        <is>
          <t>General</t>
        </is>
      </c>
      <c r="E417" t="n">
        <v>2427</v>
      </c>
      <c r="F417" t="n">
        <v>3363</v>
      </c>
      <c r="G417" t="n">
        <v>76.45999999999999</v>
      </c>
      <c r="H417" t="n">
        <v>1</v>
      </c>
      <c r="I417" t="n">
        <v>2200</v>
      </c>
      <c r="J417" t="n">
        <v>1.53</v>
      </c>
      <c r="K417" t="n">
        <v>53</v>
      </c>
      <c r="L417" t="inlineStr">
        <is>
          <t>Under-represented</t>
        </is>
      </c>
    </row>
    <row r="418">
      <c r="A418" t="inlineStr">
        <is>
          <t>CON-415</t>
        </is>
      </c>
      <c r="B418" t="inlineStr">
        <is>
          <t>Tamil Nadu</t>
        </is>
      </c>
      <c r="C418" t="inlineStr">
        <is>
          <t>Tamil_Dist_415</t>
        </is>
      </c>
      <c r="D418" t="inlineStr">
        <is>
          <t>General</t>
        </is>
      </c>
      <c r="E418" t="n">
        <v>2845</v>
      </c>
      <c r="F418" t="n">
        <v>4884</v>
      </c>
      <c r="G418" t="n">
        <v>55.38</v>
      </c>
      <c r="H418" t="n">
        <v>1</v>
      </c>
      <c r="I418" t="n">
        <v>2200</v>
      </c>
      <c r="J418" t="n">
        <v>2.22</v>
      </c>
      <c r="K418" t="n">
        <v>122</v>
      </c>
      <c r="L418" t="inlineStr">
        <is>
          <t>Under-represented</t>
        </is>
      </c>
    </row>
    <row r="419">
      <c r="A419" t="inlineStr">
        <is>
          <t>CON-416</t>
        </is>
      </c>
      <c r="B419" t="inlineStr">
        <is>
          <t>Andhra Pradesh</t>
        </is>
      </c>
      <c r="C419" t="inlineStr">
        <is>
          <t>Andhra_Dist_416</t>
        </is>
      </c>
      <c r="D419" t="inlineStr">
        <is>
          <t>SC</t>
        </is>
      </c>
      <c r="E419" t="n">
        <v>1896</v>
      </c>
      <c r="F419" t="n">
        <v>2908</v>
      </c>
      <c r="G419" t="n">
        <v>84.45999999999999</v>
      </c>
      <c r="H419" t="n">
        <v>1</v>
      </c>
      <c r="I419" t="n">
        <v>2200</v>
      </c>
      <c r="J419" t="n">
        <v>1.32</v>
      </c>
      <c r="K419" t="n">
        <v>32</v>
      </c>
      <c r="L419" t="inlineStr">
        <is>
          <t>Under-represented</t>
        </is>
      </c>
    </row>
    <row r="420">
      <c r="A420" t="inlineStr">
        <is>
          <t>CON-417</t>
        </is>
      </c>
      <c r="B420" t="inlineStr">
        <is>
          <t>Bihar</t>
        </is>
      </c>
      <c r="C420" t="inlineStr">
        <is>
          <t>Bihar_Dist_417</t>
        </is>
      </c>
      <c r="D420" t="inlineStr">
        <is>
          <t>General</t>
        </is>
      </c>
      <c r="E420" t="n">
        <v>2277</v>
      </c>
      <c r="F420" t="n">
        <v>3099</v>
      </c>
      <c r="G420" t="n">
        <v>62.79</v>
      </c>
      <c r="H420" t="n">
        <v>1</v>
      </c>
      <c r="I420" t="n">
        <v>2200</v>
      </c>
      <c r="J420" t="n">
        <v>1.41</v>
      </c>
      <c r="K420" t="n">
        <v>41</v>
      </c>
      <c r="L420" t="inlineStr">
        <is>
          <t>Under-represented</t>
        </is>
      </c>
    </row>
    <row r="421">
      <c r="A421" t="inlineStr">
        <is>
          <t>CON-418</t>
        </is>
      </c>
      <c r="B421" t="inlineStr">
        <is>
          <t>Maharashtra</t>
        </is>
      </c>
      <c r="C421" t="inlineStr">
        <is>
          <t>Maharashtra_Dist_418</t>
        </is>
      </c>
      <c r="D421" t="inlineStr">
        <is>
          <t>General</t>
        </is>
      </c>
      <c r="E421" t="n">
        <v>1580</v>
      </c>
      <c r="F421" t="n">
        <v>2717</v>
      </c>
      <c r="G421" t="n">
        <v>57.48</v>
      </c>
      <c r="H421" t="n">
        <v>1</v>
      </c>
      <c r="I421" t="n">
        <v>2200</v>
      </c>
      <c r="J421" t="n">
        <v>1.24</v>
      </c>
      <c r="K421" t="n">
        <v>24</v>
      </c>
      <c r="L421" t="inlineStr">
        <is>
          <t>Balanced</t>
        </is>
      </c>
    </row>
    <row r="422">
      <c r="A422" t="inlineStr">
        <is>
          <t>CON-419</t>
        </is>
      </c>
      <c r="B422" t="inlineStr">
        <is>
          <t>West Bengal</t>
        </is>
      </c>
      <c r="C422" t="inlineStr">
        <is>
          <t>West_Dist_419</t>
        </is>
      </c>
      <c r="D422" t="inlineStr">
        <is>
          <t>General</t>
        </is>
      </c>
      <c r="E422" t="n">
        <v>2625</v>
      </c>
      <c r="F422" t="n">
        <v>3327</v>
      </c>
      <c r="G422" t="n">
        <v>71.66</v>
      </c>
      <c r="H422" t="n">
        <v>1</v>
      </c>
      <c r="I422" t="n">
        <v>2200</v>
      </c>
      <c r="J422" t="n">
        <v>1.51</v>
      </c>
      <c r="K422" t="n">
        <v>51</v>
      </c>
      <c r="L422" t="inlineStr">
        <is>
          <t>Under-represented</t>
        </is>
      </c>
    </row>
    <row r="423">
      <c r="A423" t="inlineStr">
        <is>
          <t>CON-420</t>
        </is>
      </c>
      <c r="B423" t="inlineStr">
        <is>
          <t>Telangana</t>
        </is>
      </c>
      <c r="C423" t="inlineStr">
        <is>
          <t>Telangana_Dist_420</t>
        </is>
      </c>
      <c r="D423" t="inlineStr">
        <is>
          <t>General</t>
        </is>
      </c>
      <c r="E423" t="n">
        <v>1819</v>
      </c>
      <c r="F423" t="n">
        <v>2441</v>
      </c>
      <c r="G423" t="n">
        <v>72.70999999999999</v>
      </c>
      <c r="H423" t="n">
        <v>1</v>
      </c>
      <c r="I423" t="n">
        <v>2200</v>
      </c>
      <c r="J423" t="n">
        <v>1.11</v>
      </c>
      <c r="K423" t="n">
        <v>11</v>
      </c>
      <c r="L423" t="inlineStr">
        <is>
          <t>Balanced</t>
        </is>
      </c>
    </row>
    <row r="424">
      <c r="A424" t="inlineStr">
        <is>
          <t>CON-421</t>
        </is>
      </c>
      <c r="B424" t="inlineStr">
        <is>
          <t>Telangana</t>
        </is>
      </c>
      <c r="C424" t="inlineStr">
        <is>
          <t>Telangana_Dist_421</t>
        </is>
      </c>
      <c r="D424" t="inlineStr">
        <is>
          <t>General</t>
        </is>
      </c>
      <c r="E424" t="n">
        <v>2039</v>
      </c>
      <c r="F424" t="n">
        <v>2583</v>
      </c>
      <c r="G424" t="n">
        <v>72.95</v>
      </c>
      <c r="H424" t="n">
        <v>1</v>
      </c>
      <c r="I424" t="n">
        <v>2200</v>
      </c>
      <c r="J424" t="n">
        <v>1.17</v>
      </c>
      <c r="K424" t="n">
        <v>17</v>
      </c>
      <c r="L424" t="inlineStr">
        <is>
          <t>Balanced</t>
        </is>
      </c>
    </row>
    <row r="425">
      <c r="A425" t="inlineStr">
        <is>
          <t>CON-422</t>
        </is>
      </c>
      <c r="B425" t="inlineStr">
        <is>
          <t>Uttar Pradesh</t>
        </is>
      </c>
      <c r="C425" t="inlineStr">
        <is>
          <t>Uttar_Dist_422</t>
        </is>
      </c>
      <c r="D425" t="inlineStr">
        <is>
          <t>General</t>
        </is>
      </c>
      <c r="E425" t="n">
        <v>2060</v>
      </c>
      <c r="F425" t="n">
        <v>2691</v>
      </c>
      <c r="G425" t="n">
        <v>74.47</v>
      </c>
      <c r="H425" t="n">
        <v>1</v>
      </c>
      <c r="I425" t="n">
        <v>2200</v>
      </c>
      <c r="J425" t="n">
        <v>1.22</v>
      </c>
      <c r="K425" t="n">
        <v>22</v>
      </c>
      <c r="L425" t="inlineStr">
        <is>
          <t>Balanced</t>
        </is>
      </c>
    </row>
    <row r="426">
      <c r="A426" t="inlineStr">
        <is>
          <t>CON-423</t>
        </is>
      </c>
      <c r="B426" t="inlineStr">
        <is>
          <t>Uttar Pradesh</t>
        </is>
      </c>
      <c r="C426" t="inlineStr">
        <is>
          <t>Uttar_Dist_423</t>
        </is>
      </c>
      <c r="D426" t="inlineStr">
        <is>
          <t>General</t>
        </is>
      </c>
      <c r="E426" t="n">
        <v>2572</v>
      </c>
      <c r="F426" t="n">
        <v>4493</v>
      </c>
      <c r="G426" t="n">
        <v>56.88</v>
      </c>
      <c r="H426" t="n">
        <v>1</v>
      </c>
      <c r="I426" t="n">
        <v>2200</v>
      </c>
      <c r="J426" t="n">
        <v>2.04</v>
      </c>
      <c r="K426" t="n">
        <v>104</v>
      </c>
      <c r="L426" t="inlineStr">
        <is>
          <t>Under-represented</t>
        </is>
      </c>
    </row>
    <row r="427">
      <c r="A427" t="inlineStr">
        <is>
          <t>CON-424</t>
        </is>
      </c>
      <c r="B427" t="inlineStr">
        <is>
          <t>Uttar Pradesh</t>
        </is>
      </c>
      <c r="C427" t="inlineStr">
        <is>
          <t>Uttar_Dist_424</t>
        </is>
      </c>
      <c r="D427" t="inlineStr">
        <is>
          <t>General</t>
        </is>
      </c>
      <c r="E427" t="n">
        <v>1573</v>
      </c>
      <c r="F427" t="n">
        <v>2259</v>
      </c>
      <c r="G427" t="n">
        <v>70.84999999999999</v>
      </c>
      <c r="H427" t="n">
        <v>1</v>
      </c>
      <c r="I427" t="n">
        <v>2200</v>
      </c>
      <c r="J427" t="n">
        <v>1.03</v>
      </c>
      <c r="K427" t="n">
        <v>3</v>
      </c>
      <c r="L427" t="inlineStr">
        <is>
          <t>Balanced</t>
        </is>
      </c>
    </row>
    <row r="428">
      <c r="A428" t="inlineStr">
        <is>
          <t>CON-425</t>
        </is>
      </c>
      <c r="B428" t="inlineStr">
        <is>
          <t>Kerala</t>
        </is>
      </c>
      <c r="C428" t="inlineStr">
        <is>
          <t>Kerala_Dist_425</t>
        </is>
      </c>
      <c r="D428" t="inlineStr">
        <is>
          <t>SC</t>
        </is>
      </c>
      <c r="E428" t="n">
        <v>2878</v>
      </c>
      <c r="F428" t="n">
        <v>4455</v>
      </c>
      <c r="G428" t="n">
        <v>72.51000000000001</v>
      </c>
      <c r="H428" t="n">
        <v>1</v>
      </c>
      <c r="I428" t="n">
        <v>2200</v>
      </c>
      <c r="J428" t="n">
        <v>2.02</v>
      </c>
      <c r="K428" t="n">
        <v>102</v>
      </c>
      <c r="L428" t="inlineStr">
        <is>
          <t>Under-represented</t>
        </is>
      </c>
    </row>
    <row r="429">
      <c r="A429" t="inlineStr">
        <is>
          <t>CON-426</t>
        </is>
      </c>
      <c r="B429" t="inlineStr">
        <is>
          <t>West Bengal</t>
        </is>
      </c>
      <c r="C429" t="inlineStr">
        <is>
          <t>West_Dist_426</t>
        </is>
      </c>
      <c r="D429" t="inlineStr">
        <is>
          <t>SC</t>
        </is>
      </c>
      <c r="E429" t="n">
        <v>1219</v>
      </c>
      <c r="F429" t="n">
        <v>1754</v>
      </c>
      <c r="G429" t="n">
        <v>70.84999999999999</v>
      </c>
      <c r="H429" t="n">
        <v>1</v>
      </c>
      <c r="I429" t="n">
        <v>2200</v>
      </c>
      <c r="J429" t="n">
        <v>0.8</v>
      </c>
      <c r="K429" t="n">
        <v>20</v>
      </c>
      <c r="L429" t="inlineStr">
        <is>
          <t>Balanced</t>
        </is>
      </c>
    </row>
    <row r="430">
      <c r="A430" t="inlineStr">
        <is>
          <t>CON-427</t>
        </is>
      </c>
      <c r="B430" t="inlineStr">
        <is>
          <t>Bihar</t>
        </is>
      </c>
      <c r="C430" t="inlineStr">
        <is>
          <t>Bihar_Dist_427</t>
        </is>
      </c>
      <c r="D430" t="inlineStr">
        <is>
          <t>General</t>
        </is>
      </c>
      <c r="E430" t="n">
        <v>3402</v>
      </c>
      <c r="F430" t="n">
        <v>4811</v>
      </c>
      <c r="G430" t="n">
        <v>60.75</v>
      </c>
      <c r="H430" t="n">
        <v>1</v>
      </c>
      <c r="I430" t="n">
        <v>2200</v>
      </c>
      <c r="J430" t="n">
        <v>2.19</v>
      </c>
      <c r="K430" t="n">
        <v>119</v>
      </c>
      <c r="L430" t="inlineStr">
        <is>
          <t>Under-represented</t>
        </is>
      </c>
    </row>
    <row r="431">
      <c r="A431" t="inlineStr">
        <is>
          <t>CON-428</t>
        </is>
      </c>
      <c r="B431" t="inlineStr">
        <is>
          <t>Kerala</t>
        </is>
      </c>
      <c r="C431" t="inlineStr">
        <is>
          <t>Kerala_Dist_428</t>
        </is>
      </c>
      <c r="D431" t="inlineStr">
        <is>
          <t>SC</t>
        </is>
      </c>
      <c r="E431" t="n">
        <v>2007</v>
      </c>
      <c r="F431" t="n">
        <v>2790</v>
      </c>
      <c r="G431" t="n">
        <v>67.23</v>
      </c>
      <c r="H431" t="n">
        <v>1</v>
      </c>
      <c r="I431" t="n">
        <v>2200</v>
      </c>
      <c r="J431" t="n">
        <v>1.27</v>
      </c>
      <c r="K431" t="n">
        <v>27</v>
      </c>
      <c r="L431" t="inlineStr">
        <is>
          <t>Under-represented</t>
        </is>
      </c>
    </row>
    <row r="432">
      <c r="A432" t="inlineStr">
        <is>
          <t>CON-429</t>
        </is>
      </c>
      <c r="B432" t="inlineStr">
        <is>
          <t>Uttar Pradesh</t>
        </is>
      </c>
      <c r="C432" t="inlineStr">
        <is>
          <t>Uttar_Dist_429</t>
        </is>
      </c>
      <c r="D432" t="inlineStr">
        <is>
          <t>General</t>
        </is>
      </c>
      <c r="E432" t="n">
        <v>2894</v>
      </c>
      <c r="F432" t="n">
        <v>3647</v>
      </c>
      <c r="G432" t="n">
        <v>80.48999999999999</v>
      </c>
      <c r="H432" t="n">
        <v>1</v>
      </c>
      <c r="I432" t="n">
        <v>2200</v>
      </c>
      <c r="J432" t="n">
        <v>1.66</v>
      </c>
      <c r="K432" t="n">
        <v>66</v>
      </c>
      <c r="L432" t="inlineStr">
        <is>
          <t>Under-represented</t>
        </is>
      </c>
    </row>
    <row r="433">
      <c r="A433" t="inlineStr">
        <is>
          <t>CON-430</t>
        </is>
      </c>
      <c r="B433" t="inlineStr">
        <is>
          <t>Gujarat</t>
        </is>
      </c>
      <c r="C433" t="inlineStr">
        <is>
          <t>Gujarat_Dist_430</t>
        </is>
      </c>
      <c r="D433" t="inlineStr">
        <is>
          <t>General</t>
        </is>
      </c>
      <c r="E433" t="n">
        <v>1790</v>
      </c>
      <c r="F433" t="n">
        <v>2715</v>
      </c>
      <c r="G433" t="n">
        <v>65.43000000000001</v>
      </c>
      <c r="H433" t="n">
        <v>1</v>
      </c>
      <c r="I433" t="n">
        <v>2200</v>
      </c>
      <c r="J433" t="n">
        <v>1.23</v>
      </c>
      <c r="K433" t="n">
        <v>23</v>
      </c>
      <c r="L433" t="inlineStr">
        <is>
          <t>Balanced</t>
        </is>
      </c>
    </row>
    <row r="434">
      <c r="A434" t="inlineStr">
        <is>
          <t>CON-431</t>
        </is>
      </c>
      <c r="B434" t="inlineStr">
        <is>
          <t>Gujarat</t>
        </is>
      </c>
      <c r="C434" t="inlineStr">
        <is>
          <t>Gujarat_Dist_431</t>
        </is>
      </c>
      <c r="D434" t="inlineStr">
        <is>
          <t>SC</t>
        </is>
      </c>
      <c r="E434" t="n">
        <v>3357</v>
      </c>
      <c r="F434" t="n">
        <v>4953</v>
      </c>
      <c r="G434" t="n">
        <v>57.85</v>
      </c>
      <c r="H434" t="n">
        <v>1</v>
      </c>
      <c r="I434" t="n">
        <v>2200</v>
      </c>
      <c r="J434" t="n">
        <v>2.25</v>
      </c>
      <c r="K434" t="n">
        <v>125</v>
      </c>
      <c r="L434" t="inlineStr">
        <is>
          <t>Under-represented</t>
        </is>
      </c>
    </row>
    <row r="435">
      <c r="A435" t="inlineStr">
        <is>
          <t>CON-432</t>
        </is>
      </c>
      <c r="B435" t="inlineStr">
        <is>
          <t>Karnataka</t>
        </is>
      </c>
      <c r="C435" t="inlineStr">
        <is>
          <t>Karnataka_Dist_432</t>
        </is>
      </c>
      <c r="D435" t="inlineStr">
        <is>
          <t>SC</t>
        </is>
      </c>
      <c r="E435" t="n">
        <v>3010</v>
      </c>
      <c r="F435" t="n">
        <v>4328</v>
      </c>
      <c r="G435" t="n">
        <v>62.64</v>
      </c>
      <c r="H435" t="n">
        <v>1</v>
      </c>
      <c r="I435" t="n">
        <v>2200</v>
      </c>
      <c r="J435" t="n">
        <v>1.97</v>
      </c>
      <c r="K435" t="n">
        <v>97</v>
      </c>
      <c r="L435" t="inlineStr">
        <is>
          <t>Under-represented</t>
        </is>
      </c>
    </row>
    <row r="436">
      <c r="A436" t="inlineStr">
        <is>
          <t>CON-433</t>
        </is>
      </c>
      <c r="B436" t="inlineStr">
        <is>
          <t>Bihar</t>
        </is>
      </c>
      <c r="C436" t="inlineStr">
        <is>
          <t>Bihar_Dist_433</t>
        </is>
      </c>
      <c r="D436" t="inlineStr">
        <is>
          <t>General</t>
        </is>
      </c>
      <c r="E436" t="n">
        <v>2927</v>
      </c>
      <c r="F436" t="n">
        <v>4632</v>
      </c>
      <c r="G436" t="n">
        <v>78.70999999999999</v>
      </c>
      <c r="H436" t="n">
        <v>1</v>
      </c>
      <c r="I436" t="n">
        <v>2200</v>
      </c>
      <c r="J436" t="n">
        <v>2.11</v>
      </c>
      <c r="K436" t="n">
        <v>111</v>
      </c>
      <c r="L436" t="inlineStr">
        <is>
          <t>Under-represented</t>
        </is>
      </c>
    </row>
    <row r="437">
      <c r="A437" t="inlineStr">
        <is>
          <t>CON-434</t>
        </is>
      </c>
      <c r="B437" t="inlineStr">
        <is>
          <t>Andhra Pradesh</t>
        </is>
      </c>
      <c r="C437" t="inlineStr">
        <is>
          <t>Andhra_Dist_434</t>
        </is>
      </c>
      <c r="D437" t="inlineStr">
        <is>
          <t>General</t>
        </is>
      </c>
      <c r="E437" t="n">
        <v>2417</v>
      </c>
      <c r="F437" t="n">
        <v>3098</v>
      </c>
      <c r="G437" t="n">
        <v>72.33</v>
      </c>
      <c r="H437" t="n">
        <v>1</v>
      </c>
      <c r="I437" t="n">
        <v>2200</v>
      </c>
      <c r="J437" t="n">
        <v>1.41</v>
      </c>
      <c r="K437" t="n">
        <v>41</v>
      </c>
      <c r="L437" t="inlineStr">
        <is>
          <t>Under-represented</t>
        </is>
      </c>
    </row>
    <row r="438">
      <c r="A438" t="inlineStr">
        <is>
          <t>CON-435</t>
        </is>
      </c>
      <c r="B438" t="inlineStr">
        <is>
          <t>Gujarat</t>
        </is>
      </c>
      <c r="C438" t="inlineStr">
        <is>
          <t>Gujarat_Dist_435</t>
        </is>
      </c>
      <c r="D438" t="inlineStr">
        <is>
          <t>General</t>
        </is>
      </c>
      <c r="E438" t="n">
        <v>3486</v>
      </c>
      <c r="F438" t="n">
        <v>5308</v>
      </c>
      <c r="G438" t="n">
        <v>57.17</v>
      </c>
      <c r="H438" t="n">
        <v>1</v>
      </c>
      <c r="I438" t="n">
        <v>2200</v>
      </c>
      <c r="J438" t="n">
        <v>2.41</v>
      </c>
      <c r="K438" t="n">
        <v>141</v>
      </c>
      <c r="L438" t="inlineStr">
        <is>
          <t>Under-represented</t>
        </is>
      </c>
    </row>
    <row r="439">
      <c r="A439" t="inlineStr">
        <is>
          <t>CON-436</t>
        </is>
      </c>
      <c r="B439" t="inlineStr">
        <is>
          <t>Andhra Pradesh</t>
        </is>
      </c>
      <c r="C439" t="inlineStr">
        <is>
          <t>Andhra_Dist_436</t>
        </is>
      </c>
      <c r="D439" t="inlineStr">
        <is>
          <t>General</t>
        </is>
      </c>
      <c r="E439" t="n">
        <v>2693</v>
      </c>
      <c r="F439" t="n">
        <v>4269</v>
      </c>
      <c r="G439" t="n">
        <v>65.90000000000001</v>
      </c>
      <c r="H439" t="n">
        <v>1</v>
      </c>
      <c r="I439" t="n">
        <v>2200</v>
      </c>
      <c r="J439" t="n">
        <v>1.94</v>
      </c>
      <c r="K439" t="n">
        <v>94</v>
      </c>
      <c r="L439" t="inlineStr">
        <is>
          <t>Under-represented</t>
        </is>
      </c>
    </row>
    <row r="440">
      <c r="A440" t="inlineStr">
        <is>
          <t>CON-437</t>
        </is>
      </c>
      <c r="B440" t="inlineStr">
        <is>
          <t>Telangana</t>
        </is>
      </c>
      <c r="C440" t="inlineStr">
        <is>
          <t>Telangana_Dist_437</t>
        </is>
      </c>
      <c r="D440" t="inlineStr">
        <is>
          <t>General</t>
        </is>
      </c>
      <c r="E440" t="n">
        <v>1896</v>
      </c>
      <c r="F440" t="n">
        <v>3301</v>
      </c>
      <c r="G440" t="n">
        <v>59.88</v>
      </c>
      <c r="H440" t="n">
        <v>1</v>
      </c>
      <c r="I440" t="n">
        <v>2200</v>
      </c>
      <c r="J440" t="n">
        <v>1.5</v>
      </c>
      <c r="K440" t="n">
        <v>50</v>
      </c>
      <c r="L440" t="inlineStr">
        <is>
          <t>Under-represented</t>
        </is>
      </c>
    </row>
    <row r="441">
      <c r="A441" t="inlineStr">
        <is>
          <t>CON-438</t>
        </is>
      </c>
      <c r="B441" t="inlineStr">
        <is>
          <t>Bihar</t>
        </is>
      </c>
      <c r="C441" t="inlineStr">
        <is>
          <t>Bihar_Dist_438</t>
        </is>
      </c>
      <c r="D441" t="inlineStr">
        <is>
          <t>General</t>
        </is>
      </c>
      <c r="E441" t="n">
        <v>2773</v>
      </c>
      <c r="F441" t="n">
        <v>4379</v>
      </c>
      <c r="G441" t="n">
        <v>60.03</v>
      </c>
      <c r="H441" t="n">
        <v>1</v>
      </c>
      <c r="I441" t="n">
        <v>2200</v>
      </c>
      <c r="J441" t="n">
        <v>1.99</v>
      </c>
      <c r="K441" t="n">
        <v>99</v>
      </c>
      <c r="L441" t="inlineStr">
        <is>
          <t>Under-represented</t>
        </is>
      </c>
    </row>
    <row r="442">
      <c r="A442" t="inlineStr">
        <is>
          <t>CON-439</t>
        </is>
      </c>
      <c r="B442" t="inlineStr">
        <is>
          <t>Gujarat</t>
        </is>
      </c>
      <c r="C442" t="inlineStr">
        <is>
          <t>Gujarat_Dist_439</t>
        </is>
      </c>
      <c r="D442" t="inlineStr">
        <is>
          <t>SC</t>
        </is>
      </c>
      <c r="E442" t="n">
        <v>2398</v>
      </c>
      <c r="F442" t="n">
        <v>3146</v>
      </c>
      <c r="G442" t="n">
        <v>65.52</v>
      </c>
      <c r="H442" t="n">
        <v>1</v>
      </c>
      <c r="I442" t="n">
        <v>2200</v>
      </c>
      <c r="J442" t="n">
        <v>1.43</v>
      </c>
      <c r="K442" t="n">
        <v>43</v>
      </c>
      <c r="L442" t="inlineStr">
        <is>
          <t>Under-represented</t>
        </is>
      </c>
    </row>
    <row r="443">
      <c r="A443" t="inlineStr">
        <is>
          <t>CON-440</t>
        </is>
      </c>
      <c r="B443" t="inlineStr">
        <is>
          <t>West Bengal</t>
        </is>
      </c>
      <c r="C443" t="inlineStr">
        <is>
          <t>West_Dist_440</t>
        </is>
      </c>
      <c r="D443" t="inlineStr">
        <is>
          <t>ST</t>
        </is>
      </c>
      <c r="E443" t="n">
        <v>1886</v>
      </c>
      <c r="F443" t="n">
        <v>2942</v>
      </c>
      <c r="G443" t="n">
        <v>71.34999999999999</v>
      </c>
      <c r="H443" t="n">
        <v>1</v>
      </c>
      <c r="I443" t="n">
        <v>2200</v>
      </c>
      <c r="J443" t="n">
        <v>1.34</v>
      </c>
      <c r="K443" t="n">
        <v>34</v>
      </c>
      <c r="L443" t="inlineStr">
        <is>
          <t>Under-represented</t>
        </is>
      </c>
    </row>
    <row r="444">
      <c r="A444" t="inlineStr">
        <is>
          <t>CON-441</t>
        </is>
      </c>
      <c r="B444" t="inlineStr">
        <is>
          <t>Bihar</t>
        </is>
      </c>
      <c r="C444" t="inlineStr">
        <is>
          <t>Bihar_Dist_441</t>
        </is>
      </c>
      <c r="D444" t="inlineStr">
        <is>
          <t>General</t>
        </is>
      </c>
      <c r="E444" t="n">
        <v>1258</v>
      </c>
      <c r="F444" t="n">
        <v>2091</v>
      </c>
      <c r="G444" t="n">
        <v>74.54000000000001</v>
      </c>
      <c r="H444" t="n">
        <v>1</v>
      </c>
      <c r="I444" t="n">
        <v>2200</v>
      </c>
      <c r="J444" t="n">
        <v>0.95</v>
      </c>
      <c r="K444" t="n">
        <v>5</v>
      </c>
      <c r="L444" t="inlineStr">
        <is>
          <t>Balanced</t>
        </is>
      </c>
    </row>
    <row r="445">
      <c r="A445" t="inlineStr">
        <is>
          <t>CON-442</t>
        </is>
      </c>
      <c r="B445" t="inlineStr">
        <is>
          <t>West Bengal</t>
        </is>
      </c>
      <c r="C445" t="inlineStr">
        <is>
          <t>West_Dist_442</t>
        </is>
      </c>
      <c r="D445" t="inlineStr">
        <is>
          <t>General</t>
        </is>
      </c>
      <c r="E445" t="n">
        <v>2141</v>
      </c>
      <c r="F445" t="n">
        <v>3010</v>
      </c>
      <c r="G445" t="n">
        <v>71.73999999999999</v>
      </c>
      <c r="H445" t="n">
        <v>1</v>
      </c>
      <c r="I445" t="n">
        <v>2200</v>
      </c>
      <c r="J445" t="n">
        <v>1.37</v>
      </c>
      <c r="K445" t="n">
        <v>37</v>
      </c>
      <c r="L445" t="inlineStr">
        <is>
          <t>Under-represented</t>
        </is>
      </c>
    </row>
    <row r="446">
      <c r="A446" t="inlineStr">
        <is>
          <t>CON-443</t>
        </is>
      </c>
      <c r="B446" t="inlineStr">
        <is>
          <t>Tamil Nadu</t>
        </is>
      </c>
      <c r="C446" t="inlineStr">
        <is>
          <t>Tamil_Dist_443</t>
        </is>
      </c>
      <c r="D446" t="inlineStr">
        <is>
          <t>General</t>
        </is>
      </c>
      <c r="E446" t="n">
        <v>2451</v>
      </c>
      <c r="F446" t="n">
        <v>3565</v>
      </c>
      <c r="G446" t="n">
        <v>55.42</v>
      </c>
      <c r="H446" t="n">
        <v>1</v>
      </c>
      <c r="I446" t="n">
        <v>2200</v>
      </c>
      <c r="J446" t="n">
        <v>1.62</v>
      </c>
      <c r="K446" t="n">
        <v>62</v>
      </c>
      <c r="L446" t="inlineStr">
        <is>
          <t>Under-represented</t>
        </is>
      </c>
    </row>
    <row r="447">
      <c r="A447" t="inlineStr">
        <is>
          <t>CON-444</t>
        </is>
      </c>
      <c r="B447" t="inlineStr">
        <is>
          <t>Telangana</t>
        </is>
      </c>
      <c r="C447" t="inlineStr">
        <is>
          <t>Telangana_Dist_444</t>
        </is>
      </c>
      <c r="D447" t="inlineStr">
        <is>
          <t>SC</t>
        </is>
      </c>
      <c r="E447" t="n">
        <v>3597</v>
      </c>
      <c r="F447" t="n">
        <v>5793</v>
      </c>
      <c r="G447" t="n">
        <v>61.83</v>
      </c>
      <c r="H447" t="n">
        <v>1</v>
      </c>
      <c r="I447" t="n">
        <v>2200</v>
      </c>
      <c r="J447" t="n">
        <v>2.63</v>
      </c>
      <c r="K447" t="n">
        <v>163</v>
      </c>
      <c r="L447" t="inlineStr">
        <is>
          <t>Under-represented</t>
        </is>
      </c>
    </row>
    <row r="448">
      <c r="A448" t="inlineStr">
        <is>
          <t>CON-445</t>
        </is>
      </c>
      <c r="B448" t="inlineStr">
        <is>
          <t>Uttar Pradesh</t>
        </is>
      </c>
      <c r="C448" t="inlineStr">
        <is>
          <t>Uttar_Dist_445</t>
        </is>
      </c>
      <c r="D448" t="inlineStr">
        <is>
          <t>General</t>
        </is>
      </c>
      <c r="E448" t="n">
        <v>3502</v>
      </c>
      <c r="F448" t="n">
        <v>4574</v>
      </c>
      <c r="G448" t="n">
        <v>83.64</v>
      </c>
      <c r="H448" t="n">
        <v>1</v>
      </c>
      <c r="I448" t="n">
        <v>2200</v>
      </c>
      <c r="J448" t="n">
        <v>2.08</v>
      </c>
      <c r="K448" t="n">
        <v>108</v>
      </c>
      <c r="L448" t="inlineStr">
        <is>
          <t>Under-represented</t>
        </is>
      </c>
    </row>
    <row r="449">
      <c r="A449" t="inlineStr">
        <is>
          <t>CON-446</t>
        </is>
      </c>
      <c r="B449" t="inlineStr">
        <is>
          <t>Gujarat</t>
        </is>
      </c>
      <c r="C449" t="inlineStr">
        <is>
          <t>Gujarat_Dist_446</t>
        </is>
      </c>
      <c r="D449" t="inlineStr">
        <is>
          <t>General</t>
        </is>
      </c>
      <c r="E449" t="n">
        <v>1505</v>
      </c>
      <c r="F449" t="n">
        <v>2423</v>
      </c>
      <c r="G449" t="n">
        <v>75.34999999999999</v>
      </c>
      <c r="H449" t="n">
        <v>1</v>
      </c>
      <c r="I449" t="n">
        <v>2200</v>
      </c>
      <c r="J449" t="n">
        <v>1.1</v>
      </c>
      <c r="K449" t="n">
        <v>10</v>
      </c>
      <c r="L449" t="inlineStr">
        <is>
          <t>Balanced</t>
        </is>
      </c>
    </row>
    <row r="450">
      <c r="A450" t="inlineStr">
        <is>
          <t>CON-447</t>
        </is>
      </c>
      <c r="B450" t="inlineStr">
        <is>
          <t>Kerala</t>
        </is>
      </c>
      <c r="C450" t="inlineStr">
        <is>
          <t>Kerala_Dist_447</t>
        </is>
      </c>
      <c r="D450" t="inlineStr">
        <is>
          <t>General</t>
        </is>
      </c>
      <c r="E450" t="n">
        <v>2656</v>
      </c>
      <c r="F450" t="n">
        <v>3620</v>
      </c>
      <c r="G450" t="n">
        <v>70.44</v>
      </c>
      <c r="H450" t="n">
        <v>1</v>
      </c>
      <c r="I450" t="n">
        <v>2200</v>
      </c>
      <c r="J450" t="n">
        <v>1.65</v>
      </c>
      <c r="K450" t="n">
        <v>65</v>
      </c>
      <c r="L450" t="inlineStr">
        <is>
          <t>Under-represented</t>
        </is>
      </c>
    </row>
    <row r="451">
      <c r="A451" t="inlineStr">
        <is>
          <t>CON-448</t>
        </is>
      </c>
      <c r="B451" t="inlineStr">
        <is>
          <t>Uttar Pradesh</t>
        </is>
      </c>
      <c r="C451" t="inlineStr">
        <is>
          <t>Uttar_Dist_448</t>
        </is>
      </c>
      <c r="D451" t="inlineStr">
        <is>
          <t>General</t>
        </is>
      </c>
      <c r="E451" t="n">
        <v>1534</v>
      </c>
      <c r="F451" t="n">
        <v>2303</v>
      </c>
      <c r="G451" t="n">
        <v>66.86</v>
      </c>
      <c r="H451" t="n">
        <v>1</v>
      </c>
      <c r="I451" t="n">
        <v>2200</v>
      </c>
      <c r="J451" t="n">
        <v>1.05</v>
      </c>
      <c r="K451" t="n">
        <v>5</v>
      </c>
      <c r="L451" t="inlineStr">
        <is>
          <t>Balanced</t>
        </is>
      </c>
    </row>
    <row r="452">
      <c r="A452" t="inlineStr">
        <is>
          <t>CON-449</t>
        </is>
      </c>
      <c r="B452" t="inlineStr">
        <is>
          <t>Maharashtra</t>
        </is>
      </c>
      <c r="C452" t="inlineStr">
        <is>
          <t>Maharashtra_Dist_449</t>
        </is>
      </c>
      <c r="D452" t="inlineStr">
        <is>
          <t>General</t>
        </is>
      </c>
      <c r="E452" t="n">
        <v>1550</v>
      </c>
      <c r="F452" t="n">
        <v>2366</v>
      </c>
      <c r="G452" t="n">
        <v>72.59</v>
      </c>
      <c r="H452" t="n">
        <v>1</v>
      </c>
      <c r="I452" t="n">
        <v>2200</v>
      </c>
      <c r="J452" t="n">
        <v>1.08</v>
      </c>
      <c r="K452" t="n">
        <v>8</v>
      </c>
      <c r="L452" t="inlineStr">
        <is>
          <t>Balanced</t>
        </is>
      </c>
    </row>
    <row r="453">
      <c r="A453" t="inlineStr">
        <is>
          <t>CON-450</t>
        </is>
      </c>
      <c r="B453" t="inlineStr">
        <is>
          <t>Maharashtra</t>
        </is>
      </c>
      <c r="C453" t="inlineStr">
        <is>
          <t>Maharashtra_Dist_450</t>
        </is>
      </c>
      <c r="D453" t="inlineStr">
        <is>
          <t>General</t>
        </is>
      </c>
      <c r="E453" t="n">
        <v>2398</v>
      </c>
      <c r="F453" t="n">
        <v>3049</v>
      </c>
      <c r="G453" t="n">
        <v>71.81</v>
      </c>
      <c r="H453" t="n">
        <v>1</v>
      </c>
      <c r="I453" t="n">
        <v>2200</v>
      </c>
      <c r="J453" t="n">
        <v>1.39</v>
      </c>
      <c r="K453" t="n">
        <v>39</v>
      </c>
      <c r="L453" t="inlineStr">
        <is>
          <t>Under-represented</t>
        </is>
      </c>
    </row>
    <row r="454">
      <c r="A454" t="inlineStr">
        <is>
          <t>CON-451</t>
        </is>
      </c>
      <c r="B454" t="inlineStr">
        <is>
          <t>Andhra Pradesh</t>
        </is>
      </c>
      <c r="C454" t="inlineStr">
        <is>
          <t>Andhra_Dist_451</t>
        </is>
      </c>
      <c r="D454" t="inlineStr">
        <is>
          <t>General</t>
        </is>
      </c>
      <c r="E454" t="n">
        <v>1430</v>
      </c>
      <c r="F454" t="n">
        <v>2102</v>
      </c>
      <c r="G454" t="n">
        <v>62</v>
      </c>
      <c r="H454" t="n">
        <v>1</v>
      </c>
      <c r="I454" t="n">
        <v>2200</v>
      </c>
      <c r="J454" t="n">
        <v>0.96</v>
      </c>
      <c r="K454" t="n">
        <v>4</v>
      </c>
      <c r="L454" t="inlineStr">
        <is>
          <t>Balanced</t>
        </is>
      </c>
    </row>
    <row r="455">
      <c r="A455" t="inlineStr">
        <is>
          <t>CON-452</t>
        </is>
      </c>
      <c r="B455" t="inlineStr">
        <is>
          <t>Maharashtra</t>
        </is>
      </c>
      <c r="C455" t="inlineStr">
        <is>
          <t>Maharashtra_Dist_452</t>
        </is>
      </c>
      <c r="D455" t="inlineStr">
        <is>
          <t>General</t>
        </is>
      </c>
      <c r="E455" t="n">
        <v>1589</v>
      </c>
      <c r="F455" t="n">
        <v>2536</v>
      </c>
      <c r="G455" t="n">
        <v>67.81999999999999</v>
      </c>
      <c r="H455" t="n">
        <v>1</v>
      </c>
      <c r="I455" t="n">
        <v>2200</v>
      </c>
      <c r="J455" t="n">
        <v>1.15</v>
      </c>
      <c r="K455" t="n">
        <v>15</v>
      </c>
      <c r="L455" t="inlineStr">
        <is>
          <t>Balanced</t>
        </is>
      </c>
    </row>
    <row r="456">
      <c r="A456" t="inlineStr">
        <is>
          <t>CON-453</t>
        </is>
      </c>
      <c r="B456" t="inlineStr">
        <is>
          <t>Tamil Nadu</t>
        </is>
      </c>
      <c r="C456" t="inlineStr">
        <is>
          <t>Tamil_Dist_453</t>
        </is>
      </c>
      <c r="D456" t="inlineStr">
        <is>
          <t>ST</t>
        </is>
      </c>
      <c r="E456" t="n">
        <v>1390</v>
      </c>
      <c r="F456" t="n">
        <v>2324</v>
      </c>
      <c r="G456" t="n">
        <v>66.77</v>
      </c>
      <c r="H456" t="n">
        <v>1</v>
      </c>
      <c r="I456" t="n">
        <v>2200</v>
      </c>
      <c r="J456" t="n">
        <v>1.06</v>
      </c>
      <c r="K456" t="n">
        <v>6</v>
      </c>
      <c r="L456" t="inlineStr">
        <is>
          <t>Balanced</t>
        </is>
      </c>
    </row>
    <row r="457">
      <c r="A457" t="inlineStr">
        <is>
          <t>CON-454</t>
        </is>
      </c>
      <c r="B457" t="inlineStr">
        <is>
          <t>Uttar Pradesh</t>
        </is>
      </c>
      <c r="C457" t="inlineStr">
        <is>
          <t>Uttar_Dist_454</t>
        </is>
      </c>
      <c r="D457" t="inlineStr">
        <is>
          <t>ST</t>
        </is>
      </c>
      <c r="E457" t="n">
        <v>1614</v>
      </c>
      <c r="F457" t="n">
        <v>2269</v>
      </c>
      <c r="G457" t="n">
        <v>55.95</v>
      </c>
      <c r="H457" t="n">
        <v>1</v>
      </c>
      <c r="I457" t="n">
        <v>2200</v>
      </c>
      <c r="J457" t="n">
        <v>1.03</v>
      </c>
      <c r="K457" t="n">
        <v>3</v>
      </c>
      <c r="L457" t="inlineStr">
        <is>
          <t>Balanced</t>
        </is>
      </c>
    </row>
    <row r="458">
      <c r="A458" t="inlineStr">
        <is>
          <t>CON-455</t>
        </is>
      </c>
      <c r="B458" t="inlineStr">
        <is>
          <t>Kerala</t>
        </is>
      </c>
      <c r="C458" t="inlineStr">
        <is>
          <t>Kerala_Dist_455</t>
        </is>
      </c>
      <c r="D458" t="inlineStr">
        <is>
          <t>SC</t>
        </is>
      </c>
      <c r="E458" t="n">
        <v>1499</v>
      </c>
      <c r="F458" t="n">
        <v>2199</v>
      </c>
      <c r="G458" t="n">
        <v>80.20999999999999</v>
      </c>
      <c r="H458" t="n">
        <v>1</v>
      </c>
      <c r="I458" t="n">
        <v>2200</v>
      </c>
      <c r="J458" t="n">
        <v>1</v>
      </c>
      <c r="K458" t="n">
        <v>0</v>
      </c>
      <c r="L458" t="inlineStr">
        <is>
          <t>Balanced</t>
        </is>
      </c>
    </row>
    <row r="459">
      <c r="A459" t="inlineStr">
        <is>
          <t>CON-456</t>
        </is>
      </c>
      <c r="B459" t="inlineStr">
        <is>
          <t>Tamil Nadu</t>
        </is>
      </c>
      <c r="C459" t="inlineStr">
        <is>
          <t>Tamil_Dist_456</t>
        </is>
      </c>
      <c r="D459" t="inlineStr">
        <is>
          <t>General</t>
        </is>
      </c>
      <c r="E459" t="n">
        <v>1854</v>
      </c>
      <c r="F459" t="n">
        <v>3017</v>
      </c>
      <c r="G459" t="n">
        <v>56.16</v>
      </c>
      <c r="H459" t="n">
        <v>1</v>
      </c>
      <c r="I459" t="n">
        <v>2200</v>
      </c>
      <c r="J459" t="n">
        <v>1.37</v>
      </c>
      <c r="K459" t="n">
        <v>37</v>
      </c>
      <c r="L459" t="inlineStr">
        <is>
          <t>Under-represented</t>
        </is>
      </c>
    </row>
    <row r="460">
      <c r="A460" t="inlineStr">
        <is>
          <t>CON-457</t>
        </is>
      </c>
      <c r="B460" t="inlineStr">
        <is>
          <t>Uttar Pradesh</t>
        </is>
      </c>
      <c r="C460" t="inlineStr">
        <is>
          <t>Uttar_Dist_457</t>
        </is>
      </c>
      <c r="D460" t="inlineStr">
        <is>
          <t>General</t>
        </is>
      </c>
      <c r="E460" t="n">
        <v>2449</v>
      </c>
      <c r="F460" t="n">
        <v>3580</v>
      </c>
      <c r="G460" t="n">
        <v>68.53</v>
      </c>
      <c r="H460" t="n">
        <v>1</v>
      </c>
      <c r="I460" t="n">
        <v>2200</v>
      </c>
      <c r="J460" t="n">
        <v>1.63</v>
      </c>
      <c r="K460" t="n">
        <v>63</v>
      </c>
      <c r="L460" t="inlineStr">
        <is>
          <t>Under-represented</t>
        </is>
      </c>
    </row>
    <row r="461">
      <c r="A461" t="inlineStr">
        <is>
          <t>CON-458</t>
        </is>
      </c>
      <c r="B461" t="inlineStr">
        <is>
          <t>Maharashtra</t>
        </is>
      </c>
      <c r="C461" t="inlineStr">
        <is>
          <t>Maharashtra_Dist_458</t>
        </is>
      </c>
      <c r="D461" t="inlineStr">
        <is>
          <t>General</t>
        </is>
      </c>
      <c r="E461" t="n">
        <v>2176</v>
      </c>
      <c r="F461" t="n">
        <v>3055</v>
      </c>
      <c r="G461" t="n">
        <v>80.73</v>
      </c>
      <c r="H461" t="n">
        <v>1</v>
      </c>
      <c r="I461" t="n">
        <v>2200</v>
      </c>
      <c r="J461" t="n">
        <v>1.39</v>
      </c>
      <c r="K461" t="n">
        <v>39</v>
      </c>
      <c r="L461" t="inlineStr">
        <is>
          <t>Under-represented</t>
        </is>
      </c>
    </row>
    <row r="462">
      <c r="A462" t="inlineStr">
        <is>
          <t>CON-459</t>
        </is>
      </c>
      <c r="B462" t="inlineStr">
        <is>
          <t>Uttar Pradesh</t>
        </is>
      </c>
      <c r="C462" t="inlineStr">
        <is>
          <t>Uttar_Dist_459</t>
        </is>
      </c>
      <c r="D462" t="inlineStr">
        <is>
          <t>General</t>
        </is>
      </c>
      <c r="E462" t="n">
        <v>1344</v>
      </c>
      <c r="F462" t="n">
        <v>2200</v>
      </c>
      <c r="G462" t="n">
        <v>55.17</v>
      </c>
      <c r="H462" t="n">
        <v>1</v>
      </c>
      <c r="I462" t="n">
        <v>2200</v>
      </c>
      <c r="J462" t="n">
        <v>1</v>
      </c>
      <c r="K462" t="n">
        <v>0</v>
      </c>
      <c r="L462" t="inlineStr">
        <is>
          <t>Balanced</t>
        </is>
      </c>
    </row>
    <row r="463">
      <c r="A463" t="inlineStr">
        <is>
          <t>CON-460</t>
        </is>
      </c>
      <c r="B463" t="inlineStr">
        <is>
          <t>Maharashtra</t>
        </is>
      </c>
      <c r="C463" t="inlineStr">
        <is>
          <t>Maharashtra_Dist_460</t>
        </is>
      </c>
      <c r="D463" t="inlineStr">
        <is>
          <t>General</t>
        </is>
      </c>
      <c r="E463" t="n">
        <v>2694</v>
      </c>
      <c r="F463" t="n">
        <v>3442</v>
      </c>
      <c r="G463" t="n">
        <v>62.92</v>
      </c>
      <c r="H463" t="n">
        <v>1</v>
      </c>
      <c r="I463" t="n">
        <v>2200</v>
      </c>
      <c r="J463" t="n">
        <v>1.56</v>
      </c>
      <c r="K463" t="n">
        <v>56</v>
      </c>
      <c r="L463" t="inlineStr">
        <is>
          <t>Under-represented</t>
        </is>
      </c>
    </row>
    <row r="464">
      <c r="A464" t="inlineStr">
        <is>
          <t>CON-461</t>
        </is>
      </c>
      <c r="B464" t="inlineStr">
        <is>
          <t>West Bengal</t>
        </is>
      </c>
      <c r="C464" t="inlineStr">
        <is>
          <t>West_Dist_461</t>
        </is>
      </c>
      <c r="D464" t="inlineStr">
        <is>
          <t>General</t>
        </is>
      </c>
      <c r="E464" t="n">
        <v>3740</v>
      </c>
      <c r="F464" t="n">
        <v>4715</v>
      </c>
      <c r="G464" t="n">
        <v>76.59</v>
      </c>
      <c r="H464" t="n">
        <v>1</v>
      </c>
      <c r="I464" t="n">
        <v>2200</v>
      </c>
      <c r="J464" t="n">
        <v>2.14</v>
      </c>
      <c r="K464" t="n">
        <v>114</v>
      </c>
      <c r="L464" t="inlineStr">
        <is>
          <t>Under-represented</t>
        </is>
      </c>
    </row>
    <row r="465">
      <c r="A465" t="inlineStr">
        <is>
          <t>CON-462</t>
        </is>
      </c>
      <c r="B465" t="inlineStr">
        <is>
          <t>Tamil Nadu</t>
        </is>
      </c>
      <c r="C465" t="inlineStr">
        <is>
          <t>Tamil_Dist_462</t>
        </is>
      </c>
      <c r="D465" t="inlineStr">
        <is>
          <t>General</t>
        </is>
      </c>
      <c r="E465" t="n">
        <v>3405</v>
      </c>
      <c r="F465" t="n">
        <v>5601</v>
      </c>
      <c r="G465" t="n">
        <v>74.79000000000001</v>
      </c>
      <c r="H465" t="n">
        <v>1</v>
      </c>
      <c r="I465" t="n">
        <v>2200</v>
      </c>
      <c r="J465" t="n">
        <v>2.55</v>
      </c>
      <c r="K465" t="n">
        <v>155</v>
      </c>
      <c r="L465" t="inlineStr">
        <is>
          <t>Under-represented</t>
        </is>
      </c>
    </row>
    <row r="466">
      <c r="A466" t="inlineStr">
        <is>
          <t>CON-463</t>
        </is>
      </c>
      <c r="B466" t="inlineStr">
        <is>
          <t>Bihar</t>
        </is>
      </c>
      <c r="C466" t="inlineStr">
        <is>
          <t>Bihar_Dist_463</t>
        </is>
      </c>
      <c r="D466" t="inlineStr">
        <is>
          <t>General</t>
        </is>
      </c>
      <c r="E466" t="n">
        <v>2270</v>
      </c>
      <c r="F466" t="n">
        <v>3555</v>
      </c>
      <c r="G466" t="n">
        <v>60.92</v>
      </c>
      <c r="H466" t="n">
        <v>1</v>
      </c>
      <c r="I466" t="n">
        <v>2200</v>
      </c>
      <c r="J466" t="n">
        <v>1.62</v>
      </c>
      <c r="K466" t="n">
        <v>62</v>
      </c>
      <c r="L466" t="inlineStr">
        <is>
          <t>Under-represented</t>
        </is>
      </c>
    </row>
    <row r="467">
      <c r="A467" t="inlineStr">
        <is>
          <t>CON-464</t>
        </is>
      </c>
      <c r="B467" t="inlineStr">
        <is>
          <t>Tamil Nadu</t>
        </is>
      </c>
      <c r="C467" t="inlineStr">
        <is>
          <t>Tamil_Dist_464</t>
        </is>
      </c>
      <c r="D467" t="inlineStr">
        <is>
          <t>General</t>
        </is>
      </c>
      <c r="E467" t="n">
        <v>1521</v>
      </c>
      <c r="F467" t="n">
        <v>2577</v>
      </c>
      <c r="G467" t="n">
        <v>62.18</v>
      </c>
      <c r="H467" t="n">
        <v>1</v>
      </c>
      <c r="I467" t="n">
        <v>2200</v>
      </c>
      <c r="J467" t="n">
        <v>1.17</v>
      </c>
      <c r="K467" t="n">
        <v>17</v>
      </c>
      <c r="L467" t="inlineStr">
        <is>
          <t>Balanced</t>
        </is>
      </c>
    </row>
    <row r="468">
      <c r="A468" t="inlineStr">
        <is>
          <t>CON-465</t>
        </is>
      </c>
      <c r="B468" t="inlineStr">
        <is>
          <t>Andhra Pradesh</t>
        </is>
      </c>
      <c r="C468" t="inlineStr">
        <is>
          <t>Andhra_Dist_465</t>
        </is>
      </c>
      <c r="D468" t="inlineStr">
        <is>
          <t>General</t>
        </is>
      </c>
      <c r="E468" t="n">
        <v>2862</v>
      </c>
      <c r="F468" t="n">
        <v>4397</v>
      </c>
      <c r="G468" t="n">
        <v>58.85</v>
      </c>
      <c r="H468" t="n">
        <v>1</v>
      </c>
      <c r="I468" t="n">
        <v>2200</v>
      </c>
      <c r="J468" t="n">
        <v>2</v>
      </c>
      <c r="K468" t="n">
        <v>100</v>
      </c>
      <c r="L468" t="inlineStr">
        <is>
          <t>Under-represented</t>
        </is>
      </c>
    </row>
    <row r="469">
      <c r="A469" t="inlineStr">
        <is>
          <t>CON-466</t>
        </is>
      </c>
      <c r="B469" t="inlineStr">
        <is>
          <t>West Bengal</t>
        </is>
      </c>
      <c r="C469" t="inlineStr">
        <is>
          <t>West_Dist_466</t>
        </is>
      </c>
      <c r="D469" t="inlineStr">
        <is>
          <t>SC</t>
        </is>
      </c>
      <c r="E469" t="n">
        <v>1715</v>
      </c>
      <c r="F469" t="n">
        <v>2922</v>
      </c>
      <c r="G469" t="n">
        <v>55.5</v>
      </c>
      <c r="H469" t="n">
        <v>1</v>
      </c>
      <c r="I469" t="n">
        <v>2200</v>
      </c>
      <c r="J469" t="n">
        <v>1.33</v>
      </c>
      <c r="K469" t="n">
        <v>33</v>
      </c>
      <c r="L469" t="inlineStr">
        <is>
          <t>Under-represented</t>
        </is>
      </c>
    </row>
    <row r="470">
      <c r="A470" t="inlineStr">
        <is>
          <t>CON-467</t>
        </is>
      </c>
      <c r="B470" t="inlineStr">
        <is>
          <t>Bihar</t>
        </is>
      </c>
      <c r="C470" t="inlineStr">
        <is>
          <t>Bihar_Dist_467</t>
        </is>
      </c>
      <c r="D470" t="inlineStr">
        <is>
          <t>General</t>
        </is>
      </c>
      <c r="E470" t="n">
        <v>2655</v>
      </c>
      <c r="F470" t="n">
        <v>3589</v>
      </c>
      <c r="G470" t="n">
        <v>81.40000000000001</v>
      </c>
      <c r="H470" t="n">
        <v>1</v>
      </c>
      <c r="I470" t="n">
        <v>2200</v>
      </c>
      <c r="J470" t="n">
        <v>1.63</v>
      </c>
      <c r="K470" t="n">
        <v>63</v>
      </c>
      <c r="L470" t="inlineStr">
        <is>
          <t>Under-represented</t>
        </is>
      </c>
    </row>
    <row r="471">
      <c r="A471" t="inlineStr">
        <is>
          <t>CON-468</t>
        </is>
      </c>
      <c r="B471" t="inlineStr">
        <is>
          <t>Tamil Nadu</t>
        </is>
      </c>
      <c r="C471" t="inlineStr">
        <is>
          <t>Tamil_Dist_468</t>
        </is>
      </c>
      <c r="D471" t="inlineStr">
        <is>
          <t>General</t>
        </is>
      </c>
      <c r="E471" t="n">
        <v>3787</v>
      </c>
      <c r="F471" t="n">
        <v>4847</v>
      </c>
      <c r="G471" t="n">
        <v>55.96</v>
      </c>
      <c r="H471" t="n">
        <v>1</v>
      </c>
      <c r="I471" t="n">
        <v>2200</v>
      </c>
      <c r="J471" t="n">
        <v>2.2</v>
      </c>
      <c r="K471" t="n">
        <v>120</v>
      </c>
      <c r="L471" t="inlineStr">
        <is>
          <t>Under-represented</t>
        </is>
      </c>
    </row>
    <row r="472">
      <c r="A472" t="inlineStr">
        <is>
          <t>CON-469</t>
        </is>
      </c>
      <c r="B472" t="inlineStr">
        <is>
          <t>Uttar Pradesh</t>
        </is>
      </c>
      <c r="C472" t="inlineStr">
        <is>
          <t>Uttar_Dist_469</t>
        </is>
      </c>
      <c r="D472" t="inlineStr">
        <is>
          <t>General</t>
        </is>
      </c>
      <c r="E472" t="n">
        <v>1843</v>
      </c>
      <c r="F472" t="n">
        <v>2541</v>
      </c>
      <c r="G472" t="n">
        <v>76.81999999999999</v>
      </c>
      <c r="H472" t="n">
        <v>1</v>
      </c>
      <c r="I472" t="n">
        <v>2200</v>
      </c>
      <c r="J472" t="n">
        <v>1.16</v>
      </c>
      <c r="K472" t="n">
        <v>16</v>
      </c>
      <c r="L472" t="inlineStr">
        <is>
          <t>Balanced</t>
        </is>
      </c>
    </row>
    <row r="473">
      <c r="A473" t="inlineStr">
        <is>
          <t>CON-470</t>
        </is>
      </c>
      <c r="B473" t="inlineStr">
        <is>
          <t>Kerala</t>
        </is>
      </c>
      <c r="C473" t="inlineStr">
        <is>
          <t>Kerala_Dist_470</t>
        </is>
      </c>
      <c r="D473" t="inlineStr">
        <is>
          <t>General</t>
        </is>
      </c>
      <c r="E473" t="n">
        <v>2214</v>
      </c>
      <c r="F473" t="n">
        <v>3391</v>
      </c>
      <c r="G473" t="n">
        <v>71.31</v>
      </c>
      <c r="H473" t="n">
        <v>1</v>
      </c>
      <c r="I473" t="n">
        <v>2200</v>
      </c>
      <c r="J473" t="n">
        <v>1.54</v>
      </c>
      <c r="K473" t="n">
        <v>54</v>
      </c>
      <c r="L473" t="inlineStr">
        <is>
          <t>Under-represented</t>
        </is>
      </c>
    </row>
    <row r="474">
      <c r="A474" t="inlineStr">
        <is>
          <t>CON-471</t>
        </is>
      </c>
      <c r="B474" t="inlineStr">
        <is>
          <t>Kerala</t>
        </is>
      </c>
      <c r="C474" t="inlineStr">
        <is>
          <t>Kerala_Dist_471</t>
        </is>
      </c>
      <c r="D474" t="inlineStr">
        <is>
          <t>General</t>
        </is>
      </c>
      <c r="E474" t="n">
        <v>3516</v>
      </c>
      <c r="F474" t="n">
        <v>4405</v>
      </c>
      <c r="G474" t="n">
        <v>60.53</v>
      </c>
      <c r="H474" t="n">
        <v>1</v>
      </c>
      <c r="I474" t="n">
        <v>2200</v>
      </c>
      <c r="J474" t="n">
        <v>2</v>
      </c>
      <c r="K474" t="n">
        <v>100</v>
      </c>
      <c r="L474" t="inlineStr">
        <is>
          <t>Under-represented</t>
        </is>
      </c>
    </row>
    <row r="475">
      <c r="A475" t="inlineStr">
        <is>
          <t>CON-472</t>
        </is>
      </c>
      <c r="B475" t="inlineStr">
        <is>
          <t>Uttar Pradesh</t>
        </is>
      </c>
      <c r="C475" t="inlineStr">
        <is>
          <t>Uttar_Dist_472</t>
        </is>
      </c>
      <c r="D475" t="inlineStr">
        <is>
          <t>General</t>
        </is>
      </c>
      <c r="E475" t="n">
        <v>2852</v>
      </c>
      <c r="F475" t="n">
        <v>4136</v>
      </c>
      <c r="G475" t="n">
        <v>84.33</v>
      </c>
      <c r="H475" t="n">
        <v>1</v>
      </c>
      <c r="I475" t="n">
        <v>2200</v>
      </c>
      <c r="J475" t="n">
        <v>1.88</v>
      </c>
      <c r="K475" t="n">
        <v>88</v>
      </c>
      <c r="L475" t="inlineStr">
        <is>
          <t>Under-represented</t>
        </is>
      </c>
    </row>
    <row r="476">
      <c r="A476" t="inlineStr">
        <is>
          <t>CON-473</t>
        </is>
      </c>
      <c r="B476" t="inlineStr">
        <is>
          <t>Gujarat</t>
        </is>
      </c>
      <c r="C476" t="inlineStr">
        <is>
          <t>Gujarat_Dist_473</t>
        </is>
      </c>
      <c r="D476" t="inlineStr">
        <is>
          <t>General</t>
        </is>
      </c>
      <c r="E476" t="n">
        <v>1207</v>
      </c>
      <c r="F476" t="n">
        <v>1979</v>
      </c>
      <c r="G476" t="n">
        <v>54.85</v>
      </c>
      <c r="H476" t="n">
        <v>1</v>
      </c>
      <c r="I476" t="n">
        <v>2200</v>
      </c>
      <c r="J476" t="n">
        <v>0.9</v>
      </c>
      <c r="K476" t="n">
        <v>10</v>
      </c>
      <c r="L476" t="inlineStr">
        <is>
          <t>Balanced</t>
        </is>
      </c>
    </row>
    <row r="477">
      <c r="A477" t="inlineStr">
        <is>
          <t>CON-474</t>
        </is>
      </c>
      <c r="B477" t="inlineStr">
        <is>
          <t>Tamil Nadu</t>
        </is>
      </c>
      <c r="C477" t="inlineStr">
        <is>
          <t>Tamil_Dist_474</t>
        </is>
      </c>
      <c r="D477" t="inlineStr">
        <is>
          <t>General</t>
        </is>
      </c>
      <c r="E477" t="n">
        <v>3444</v>
      </c>
      <c r="F477" t="n">
        <v>5312</v>
      </c>
      <c r="G477" t="n">
        <v>65.38</v>
      </c>
      <c r="H477" t="n">
        <v>1</v>
      </c>
      <c r="I477" t="n">
        <v>2200</v>
      </c>
      <c r="J477" t="n">
        <v>2.41</v>
      </c>
      <c r="K477" t="n">
        <v>141</v>
      </c>
      <c r="L477" t="inlineStr">
        <is>
          <t>Under-represented</t>
        </is>
      </c>
    </row>
    <row r="478">
      <c r="A478" t="inlineStr">
        <is>
          <t>CON-475</t>
        </is>
      </c>
      <c r="B478" t="inlineStr">
        <is>
          <t>Bihar</t>
        </is>
      </c>
      <c r="C478" t="inlineStr">
        <is>
          <t>Bihar_Dist_475</t>
        </is>
      </c>
      <c r="D478" t="inlineStr">
        <is>
          <t>SC</t>
        </is>
      </c>
      <c r="E478" t="n">
        <v>1881</v>
      </c>
      <c r="F478" t="n">
        <v>3267</v>
      </c>
      <c r="G478" t="n">
        <v>72.09999999999999</v>
      </c>
      <c r="H478" t="n">
        <v>1</v>
      </c>
      <c r="I478" t="n">
        <v>2200</v>
      </c>
      <c r="J478" t="n">
        <v>1.49</v>
      </c>
      <c r="K478" t="n">
        <v>49</v>
      </c>
      <c r="L478" t="inlineStr">
        <is>
          <t>Under-represented</t>
        </is>
      </c>
    </row>
    <row r="479">
      <c r="A479" t="inlineStr">
        <is>
          <t>CON-476</t>
        </is>
      </c>
      <c r="B479" t="inlineStr">
        <is>
          <t>Andhra Pradesh</t>
        </is>
      </c>
      <c r="C479" t="inlineStr">
        <is>
          <t>Andhra_Dist_476</t>
        </is>
      </c>
      <c r="D479" t="inlineStr">
        <is>
          <t>General</t>
        </is>
      </c>
      <c r="E479" t="n">
        <v>2263</v>
      </c>
      <c r="F479" t="n">
        <v>3270</v>
      </c>
      <c r="G479" t="n">
        <v>71.23999999999999</v>
      </c>
      <c r="H479" t="n">
        <v>1</v>
      </c>
      <c r="I479" t="n">
        <v>2200</v>
      </c>
      <c r="J479" t="n">
        <v>1.49</v>
      </c>
      <c r="K479" t="n">
        <v>49</v>
      </c>
      <c r="L479" t="inlineStr">
        <is>
          <t>Under-represented</t>
        </is>
      </c>
    </row>
    <row r="480">
      <c r="A480" t="inlineStr">
        <is>
          <t>CON-477</t>
        </is>
      </c>
      <c r="B480" t="inlineStr">
        <is>
          <t>Tamil Nadu</t>
        </is>
      </c>
      <c r="C480" t="inlineStr">
        <is>
          <t>Tamil_Dist_477</t>
        </is>
      </c>
      <c r="D480" t="inlineStr">
        <is>
          <t>General</t>
        </is>
      </c>
      <c r="E480" t="n">
        <v>2552</v>
      </c>
      <c r="F480" t="n">
        <v>4121</v>
      </c>
      <c r="G480" t="n">
        <v>74.09999999999999</v>
      </c>
      <c r="H480" t="n">
        <v>1</v>
      </c>
      <c r="I480" t="n">
        <v>2200</v>
      </c>
      <c r="J480" t="n">
        <v>1.87</v>
      </c>
      <c r="K480" t="n">
        <v>87</v>
      </c>
      <c r="L480" t="inlineStr">
        <is>
          <t>Under-represented</t>
        </is>
      </c>
    </row>
    <row r="481">
      <c r="A481" t="inlineStr">
        <is>
          <t>CON-478</t>
        </is>
      </c>
      <c r="B481" t="inlineStr">
        <is>
          <t>Maharashtra</t>
        </is>
      </c>
      <c r="C481" t="inlineStr">
        <is>
          <t>Maharashtra_Dist_478</t>
        </is>
      </c>
      <c r="D481" t="inlineStr">
        <is>
          <t>ST</t>
        </is>
      </c>
      <c r="E481" t="n">
        <v>3696</v>
      </c>
      <c r="F481" t="n">
        <v>5879</v>
      </c>
      <c r="G481" t="n">
        <v>59.36</v>
      </c>
      <c r="H481" t="n">
        <v>1</v>
      </c>
      <c r="I481" t="n">
        <v>2200</v>
      </c>
      <c r="J481" t="n">
        <v>2.67</v>
      </c>
      <c r="K481" t="n">
        <v>167</v>
      </c>
      <c r="L481" t="inlineStr">
        <is>
          <t>Under-represented</t>
        </is>
      </c>
    </row>
    <row r="482">
      <c r="A482" t="inlineStr">
        <is>
          <t>CON-479</t>
        </is>
      </c>
      <c r="B482" t="inlineStr">
        <is>
          <t>Andhra Pradesh</t>
        </is>
      </c>
      <c r="C482" t="inlineStr">
        <is>
          <t>Andhra_Dist_479</t>
        </is>
      </c>
      <c r="D482" t="inlineStr">
        <is>
          <t>General</t>
        </is>
      </c>
      <c r="E482" t="n">
        <v>1744</v>
      </c>
      <c r="F482" t="n">
        <v>2881</v>
      </c>
      <c r="G482" t="n">
        <v>63.55</v>
      </c>
      <c r="H482" t="n">
        <v>1</v>
      </c>
      <c r="I482" t="n">
        <v>2200</v>
      </c>
      <c r="J482" t="n">
        <v>1.31</v>
      </c>
      <c r="K482" t="n">
        <v>31</v>
      </c>
      <c r="L482" t="inlineStr">
        <is>
          <t>Under-represented</t>
        </is>
      </c>
    </row>
    <row r="483">
      <c r="A483" t="inlineStr">
        <is>
          <t>CON-480</t>
        </is>
      </c>
      <c r="B483" t="inlineStr">
        <is>
          <t>Uttar Pradesh</t>
        </is>
      </c>
      <c r="C483" t="inlineStr">
        <is>
          <t>Uttar_Dist_480</t>
        </is>
      </c>
      <c r="D483" t="inlineStr">
        <is>
          <t>General</t>
        </is>
      </c>
      <c r="E483" t="n">
        <v>1370</v>
      </c>
      <c r="F483" t="n">
        <v>1835</v>
      </c>
      <c r="G483" t="n">
        <v>59.32</v>
      </c>
      <c r="H483" t="n">
        <v>1</v>
      </c>
      <c r="I483" t="n">
        <v>2200</v>
      </c>
      <c r="J483" t="n">
        <v>0.83</v>
      </c>
      <c r="K483" t="n">
        <v>17</v>
      </c>
      <c r="L483" t="inlineStr">
        <is>
          <t>Balanced</t>
        </is>
      </c>
    </row>
    <row r="484">
      <c r="A484" t="inlineStr">
        <is>
          <t>CON-481</t>
        </is>
      </c>
      <c r="B484" t="inlineStr">
        <is>
          <t>Karnataka</t>
        </is>
      </c>
      <c r="C484" t="inlineStr">
        <is>
          <t>Karnataka_Dist_481</t>
        </is>
      </c>
      <c r="D484" t="inlineStr">
        <is>
          <t>General</t>
        </is>
      </c>
      <c r="E484" t="n">
        <v>3615</v>
      </c>
      <c r="F484" t="n">
        <v>5880</v>
      </c>
      <c r="G484" t="n">
        <v>74.63</v>
      </c>
      <c r="H484" t="n">
        <v>1</v>
      </c>
      <c r="I484" t="n">
        <v>2200</v>
      </c>
      <c r="J484" t="n">
        <v>2.67</v>
      </c>
      <c r="K484" t="n">
        <v>167</v>
      </c>
      <c r="L484" t="inlineStr">
        <is>
          <t>Under-represented</t>
        </is>
      </c>
    </row>
    <row r="485">
      <c r="A485" t="inlineStr">
        <is>
          <t>CON-482</t>
        </is>
      </c>
      <c r="B485" t="inlineStr">
        <is>
          <t>Gujarat</t>
        </is>
      </c>
      <c r="C485" t="inlineStr">
        <is>
          <t>Gujarat_Dist_482</t>
        </is>
      </c>
      <c r="D485" t="inlineStr">
        <is>
          <t>SC</t>
        </is>
      </c>
      <c r="E485" t="n">
        <v>3538</v>
      </c>
      <c r="F485" t="n">
        <v>5980</v>
      </c>
      <c r="G485" t="n">
        <v>74.44</v>
      </c>
      <c r="H485" t="n">
        <v>1</v>
      </c>
      <c r="I485" t="n">
        <v>2200</v>
      </c>
      <c r="J485" t="n">
        <v>2.72</v>
      </c>
      <c r="K485" t="n">
        <v>172</v>
      </c>
      <c r="L485" t="inlineStr">
        <is>
          <t>Under-represented</t>
        </is>
      </c>
    </row>
    <row r="486">
      <c r="A486" t="inlineStr">
        <is>
          <t>CON-483</t>
        </is>
      </c>
      <c r="B486" t="inlineStr">
        <is>
          <t>Kerala</t>
        </is>
      </c>
      <c r="C486" t="inlineStr">
        <is>
          <t>Kerala_Dist_483</t>
        </is>
      </c>
      <c r="D486" t="inlineStr">
        <is>
          <t>General</t>
        </is>
      </c>
      <c r="E486" t="n">
        <v>2953</v>
      </c>
      <c r="F486" t="n">
        <v>4598</v>
      </c>
      <c r="G486" t="n">
        <v>64.76000000000001</v>
      </c>
      <c r="H486" t="n">
        <v>1</v>
      </c>
      <c r="I486" t="n">
        <v>2200</v>
      </c>
      <c r="J486" t="n">
        <v>2.09</v>
      </c>
      <c r="K486" t="n">
        <v>109</v>
      </c>
      <c r="L486" t="inlineStr">
        <is>
          <t>Under-represented</t>
        </is>
      </c>
    </row>
    <row r="487">
      <c r="A487" t="inlineStr">
        <is>
          <t>CON-484</t>
        </is>
      </c>
      <c r="B487" t="inlineStr">
        <is>
          <t>Gujarat</t>
        </is>
      </c>
      <c r="C487" t="inlineStr">
        <is>
          <t>Gujarat_Dist_484</t>
        </is>
      </c>
      <c r="D487" t="inlineStr">
        <is>
          <t>ST</t>
        </is>
      </c>
      <c r="E487" t="n">
        <v>2586</v>
      </c>
      <c r="F487" t="n">
        <v>3853</v>
      </c>
      <c r="G487" t="n">
        <v>58.69</v>
      </c>
      <c r="H487" t="n">
        <v>1</v>
      </c>
      <c r="I487" t="n">
        <v>2200</v>
      </c>
      <c r="J487" t="n">
        <v>1.75</v>
      </c>
      <c r="K487" t="n">
        <v>75</v>
      </c>
      <c r="L487" t="inlineStr">
        <is>
          <t>Under-represented</t>
        </is>
      </c>
    </row>
    <row r="488">
      <c r="A488" t="inlineStr">
        <is>
          <t>CON-485</t>
        </is>
      </c>
      <c r="B488" t="inlineStr">
        <is>
          <t>Gujarat</t>
        </is>
      </c>
      <c r="C488" t="inlineStr">
        <is>
          <t>Gujarat_Dist_485</t>
        </is>
      </c>
      <c r="D488" t="inlineStr">
        <is>
          <t>General</t>
        </is>
      </c>
      <c r="E488" t="n">
        <v>3655</v>
      </c>
      <c r="F488" t="n">
        <v>5426</v>
      </c>
      <c r="G488" t="n">
        <v>64.31</v>
      </c>
      <c r="H488" t="n">
        <v>1</v>
      </c>
      <c r="I488" t="n">
        <v>2200</v>
      </c>
      <c r="J488" t="n">
        <v>2.47</v>
      </c>
      <c r="K488" t="n">
        <v>147</v>
      </c>
      <c r="L488" t="inlineStr">
        <is>
          <t>Under-represented</t>
        </is>
      </c>
    </row>
    <row r="489">
      <c r="A489" t="inlineStr">
        <is>
          <t>CON-486</t>
        </is>
      </c>
      <c r="B489" t="inlineStr">
        <is>
          <t>Maharashtra</t>
        </is>
      </c>
      <c r="C489" t="inlineStr">
        <is>
          <t>Maharashtra_Dist_486</t>
        </is>
      </c>
      <c r="D489" t="inlineStr">
        <is>
          <t>General</t>
        </is>
      </c>
      <c r="E489" t="n">
        <v>2196</v>
      </c>
      <c r="F489" t="n">
        <v>3456</v>
      </c>
      <c r="G489" t="n">
        <v>73.72</v>
      </c>
      <c r="H489" t="n">
        <v>1</v>
      </c>
      <c r="I489" t="n">
        <v>2200</v>
      </c>
      <c r="J489" t="n">
        <v>1.57</v>
      </c>
      <c r="K489" t="n">
        <v>57</v>
      </c>
      <c r="L489" t="inlineStr">
        <is>
          <t>Under-represented</t>
        </is>
      </c>
    </row>
    <row r="490">
      <c r="A490" t="inlineStr">
        <is>
          <t>CON-487</t>
        </is>
      </c>
      <c r="B490" t="inlineStr">
        <is>
          <t>Uttar Pradesh</t>
        </is>
      </c>
      <c r="C490" t="inlineStr">
        <is>
          <t>Uttar_Dist_487</t>
        </is>
      </c>
      <c r="D490" t="inlineStr">
        <is>
          <t>General</t>
        </is>
      </c>
      <c r="E490" t="n">
        <v>3648</v>
      </c>
      <c r="F490" t="n">
        <v>5066</v>
      </c>
      <c r="G490" t="n">
        <v>84</v>
      </c>
      <c r="H490" t="n">
        <v>1</v>
      </c>
      <c r="I490" t="n">
        <v>2200</v>
      </c>
      <c r="J490" t="n">
        <v>2.3</v>
      </c>
      <c r="K490" t="n">
        <v>130</v>
      </c>
      <c r="L490" t="inlineStr">
        <is>
          <t>Under-represented</t>
        </is>
      </c>
    </row>
    <row r="491">
      <c r="A491" t="inlineStr">
        <is>
          <t>CON-488</t>
        </is>
      </c>
      <c r="B491" t="inlineStr">
        <is>
          <t>Karnataka</t>
        </is>
      </c>
      <c r="C491" t="inlineStr">
        <is>
          <t>Karnataka_Dist_488</t>
        </is>
      </c>
      <c r="D491" t="inlineStr">
        <is>
          <t>General</t>
        </is>
      </c>
      <c r="E491" t="n">
        <v>1380</v>
      </c>
      <c r="F491" t="n">
        <v>2245</v>
      </c>
      <c r="G491" t="n">
        <v>80.31</v>
      </c>
      <c r="H491" t="n">
        <v>1</v>
      </c>
      <c r="I491" t="n">
        <v>2200</v>
      </c>
      <c r="J491" t="n">
        <v>1.02</v>
      </c>
      <c r="K491" t="n">
        <v>2</v>
      </c>
      <c r="L491" t="inlineStr">
        <is>
          <t>Balanced</t>
        </is>
      </c>
    </row>
    <row r="492">
      <c r="A492" t="inlineStr">
        <is>
          <t>CON-489</t>
        </is>
      </c>
      <c r="B492" t="inlineStr">
        <is>
          <t>Maharashtra</t>
        </is>
      </c>
      <c r="C492" t="inlineStr">
        <is>
          <t>Maharashtra_Dist_489</t>
        </is>
      </c>
      <c r="D492" t="inlineStr">
        <is>
          <t>General</t>
        </is>
      </c>
      <c r="E492" t="n">
        <v>1637</v>
      </c>
      <c r="F492" t="n">
        <v>2225</v>
      </c>
      <c r="G492" t="n">
        <v>76.22</v>
      </c>
      <c r="H492" t="n">
        <v>1</v>
      </c>
      <c r="I492" t="n">
        <v>2200</v>
      </c>
      <c r="J492" t="n">
        <v>1.01</v>
      </c>
      <c r="K492" t="n">
        <v>1</v>
      </c>
      <c r="L492" t="inlineStr">
        <is>
          <t>Balanced</t>
        </is>
      </c>
    </row>
    <row r="493">
      <c r="A493" t="inlineStr">
        <is>
          <t>CON-490</t>
        </is>
      </c>
      <c r="B493" t="inlineStr">
        <is>
          <t>Karnataka</t>
        </is>
      </c>
      <c r="C493" t="inlineStr">
        <is>
          <t>Karnataka_Dist_490</t>
        </is>
      </c>
      <c r="D493" t="inlineStr">
        <is>
          <t>General</t>
        </is>
      </c>
      <c r="E493" t="n">
        <v>1210</v>
      </c>
      <c r="F493" t="n">
        <v>1546</v>
      </c>
      <c r="G493" t="n">
        <v>83.81</v>
      </c>
      <c r="H493" t="n">
        <v>1</v>
      </c>
      <c r="I493" t="n">
        <v>2200</v>
      </c>
      <c r="J493" t="n">
        <v>0.7</v>
      </c>
      <c r="K493" t="n">
        <v>30</v>
      </c>
      <c r="L493" t="inlineStr">
        <is>
          <t>Over-represented</t>
        </is>
      </c>
    </row>
    <row r="494">
      <c r="A494" t="inlineStr">
        <is>
          <t>CON-491</t>
        </is>
      </c>
      <c r="B494" t="inlineStr">
        <is>
          <t>Uttar Pradesh</t>
        </is>
      </c>
      <c r="C494" t="inlineStr">
        <is>
          <t>Uttar_Dist_491</t>
        </is>
      </c>
      <c r="D494" t="inlineStr">
        <is>
          <t>General</t>
        </is>
      </c>
      <c r="E494" t="n">
        <v>2131</v>
      </c>
      <c r="F494" t="n">
        <v>2840</v>
      </c>
      <c r="G494" t="n">
        <v>54.64</v>
      </c>
      <c r="H494" t="n">
        <v>1</v>
      </c>
      <c r="I494" t="n">
        <v>2200</v>
      </c>
      <c r="J494" t="n">
        <v>1.29</v>
      </c>
      <c r="K494" t="n">
        <v>29</v>
      </c>
      <c r="L494" t="inlineStr">
        <is>
          <t>Under-represented</t>
        </is>
      </c>
    </row>
    <row r="495">
      <c r="A495" t="inlineStr">
        <is>
          <t>CON-492</t>
        </is>
      </c>
      <c r="B495" t="inlineStr">
        <is>
          <t>Tamil Nadu</t>
        </is>
      </c>
      <c r="C495" t="inlineStr">
        <is>
          <t>Tamil_Dist_492</t>
        </is>
      </c>
      <c r="D495" t="inlineStr">
        <is>
          <t>SC</t>
        </is>
      </c>
      <c r="E495" t="n">
        <v>2785</v>
      </c>
      <c r="F495" t="n">
        <v>3497</v>
      </c>
      <c r="G495" t="n">
        <v>52.27</v>
      </c>
      <c r="H495" t="n">
        <v>1</v>
      </c>
      <c r="I495" t="n">
        <v>2200</v>
      </c>
      <c r="J495" t="n">
        <v>1.59</v>
      </c>
      <c r="K495" t="n">
        <v>59</v>
      </c>
      <c r="L495" t="inlineStr">
        <is>
          <t>Under-represented</t>
        </is>
      </c>
    </row>
    <row r="496">
      <c r="A496" t="inlineStr">
        <is>
          <t>CON-493</t>
        </is>
      </c>
      <c r="B496" t="inlineStr">
        <is>
          <t>Maharashtra</t>
        </is>
      </c>
      <c r="C496" t="inlineStr">
        <is>
          <t>Maharashtra_Dist_493</t>
        </is>
      </c>
      <c r="D496" t="inlineStr">
        <is>
          <t>General</t>
        </is>
      </c>
      <c r="E496" t="n">
        <v>3642</v>
      </c>
      <c r="F496" t="n">
        <v>5391</v>
      </c>
      <c r="G496" t="n">
        <v>81.02</v>
      </c>
      <c r="H496" t="n">
        <v>1</v>
      </c>
      <c r="I496" t="n">
        <v>2200</v>
      </c>
      <c r="J496" t="n">
        <v>2.45</v>
      </c>
      <c r="K496" t="n">
        <v>145</v>
      </c>
      <c r="L496" t="inlineStr">
        <is>
          <t>Under-represented</t>
        </is>
      </c>
    </row>
    <row r="497">
      <c r="A497" t="inlineStr">
        <is>
          <t>CON-494</t>
        </is>
      </c>
      <c r="B497" t="inlineStr">
        <is>
          <t>Bihar</t>
        </is>
      </c>
      <c r="C497" t="inlineStr">
        <is>
          <t>Bihar_Dist_494</t>
        </is>
      </c>
      <c r="D497" t="inlineStr">
        <is>
          <t>General</t>
        </is>
      </c>
      <c r="E497" t="n">
        <v>2478</v>
      </c>
      <c r="F497" t="n">
        <v>3725</v>
      </c>
      <c r="G497" t="n">
        <v>73.41</v>
      </c>
      <c r="H497" t="n">
        <v>1</v>
      </c>
      <c r="I497" t="n">
        <v>2200</v>
      </c>
      <c r="J497" t="n">
        <v>1.69</v>
      </c>
      <c r="K497" t="n">
        <v>69</v>
      </c>
      <c r="L497" t="inlineStr">
        <is>
          <t>Under-represented</t>
        </is>
      </c>
    </row>
    <row r="498">
      <c r="A498" t="inlineStr">
        <is>
          <t>CON-495</t>
        </is>
      </c>
      <c r="B498" t="inlineStr">
        <is>
          <t>Tamil Nadu</t>
        </is>
      </c>
      <c r="C498" t="inlineStr">
        <is>
          <t>Tamil_Dist_495</t>
        </is>
      </c>
      <c r="D498" t="inlineStr">
        <is>
          <t>General</t>
        </is>
      </c>
      <c r="E498" t="n">
        <v>1546</v>
      </c>
      <c r="F498" t="n">
        <v>2202</v>
      </c>
      <c r="G498" t="n">
        <v>74.31</v>
      </c>
      <c r="H498" t="n">
        <v>1</v>
      </c>
      <c r="I498" t="n">
        <v>2200</v>
      </c>
      <c r="J498" t="n">
        <v>1</v>
      </c>
      <c r="K498" t="n">
        <v>0</v>
      </c>
      <c r="L498" t="inlineStr">
        <is>
          <t>Balanced</t>
        </is>
      </c>
    </row>
    <row r="499">
      <c r="A499" t="inlineStr">
        <is>
          <t>CON-496</t>
        </is>
      </c>
      <c r="B499" t="inlineStr">
        <is>
          <t>Maharashtra</t>
        </is>
      </c>
      <c r="C499" t="inlineStr">
        <is>
          <t>Maharashtra_Dist_496</t>
        </is>
      </c>
      <c r="D499" t="inlineStr">
        <is>
          <t>General</t>
        </is>
      </c>
      <c r="E499" t="n">
        <v>1223</v>
      </c>
      <c r="F499" t="n">
        <v>2068</v>
      </c>
      <c r="G499" t="n">
        <v>62.1</v>
      </c>
      <c r="H499" t="n">
        <v>1</v>
      </c>
      <c r="I499" t="n">
        <v>2200</v>
      </c>
      <c r="J499" t="n">
        <v>0.9399999999999999</v>
      </c>
      <c r="K499" t="n">
        <v>6</v>
      </c>
      <c r="L499" t="inlineStr">
        <is>
          <t>Balanced</t>
        </is>
      </c>
    </row>
    <row r="500">
      <c r="A500" t="inlineStr">
        <is>
          <t>CON-497</t>
        </is>
      </c>
      <c r="B500" t="inlineStr">
        <is>
          <t>Maharashtra</t>
        </is>
      </c>
      <c r="C500" t="inlineStr">
        <is>
          <t>Maharashtra_Dist_497</t>
        </is>
      </c>
      <c r="D500" t="inlineStr">
        <is>
          <t>General</t>
        </is>
      </c>
      <c r="E500" t="n">
        <v>2138</v>
      </c>
      <c r="F500" t="n">
        <v>3173</v>
      </c>
      <c r="G500" t="n">
        <v>53.92</v>
      </c>
      <c r="H500" t="n">
        <v>1</v>
      </c>
      <c r="I500" t="n">
        <v>2200</v>
      </c>
      <c r="J500" t="n">
        <v>1.44</v>
      </c>
      <c r="K500" t="n">
        <v>44</v>
      </c>
      <c r="L500" t="inlineStr">
        <is>
          <t>Under-represented</t>
        </is>
      </c>
    </row>
    <row r="501">
      <c r="A501" t="inlineStr">
        <is>
          <t>CON-498</t>
        </is>
      </c>
      <c r="B501" t="inlineStr">
        <is>
          <t>Kerala</t>
        </is>
      </c>
      <c r="C501" t="inlineStr">
        <is>
          <t>Kerala_Dist_498</t>
        </is>
      </c>
      <c r="D501" t="inlineStr">
        <is>
          <t>General</t>
        </is>
      </c>
      <c r="E501" t="n">
        <v>3642</v>
      </c>
      <c r="F501" t="n">
        <v>4650</v>
      </c>
      <c r="G501" t="n">
        <v>67.25</v>
      </c>
      <c r="H501" t="n">
        <v>1</v>
      </c>
      <c r="I501" t="n">
        <v>2200</v>
      </c>
      <c r="J501" t="n">
        <v>2.11</v>
      </c>
      <c r="K501" t="n">
        <v>111</v>
      </c>
      <c r="L501" t="inlineStr">
        <is>
          <t>Under-represented</t>
        </is>
      </c>
    </row>
    <row r="502">
      <c r="A502" t="inlineStr">
        <is>
          <t>CON-499</t>
        </is>
      </c>
      <c r="B502" t="inlineStr">
        <is>
          <t>Gujarat</t>
        </is>
      </c>
      <c r="C502" t="inlineStr">
        <is>
          <t>Gujarat_Dist_499</t>
        </is>
      </c>
      <c r="D502" t="inlineStr">
        <is>
          <t>SC</t>
        </is>
      </c>
      <c r="E502" t="n">
        <v>2343</v>
      </c>
      <c r="F502" t="n">
        <v>3522</v>
      </c>
      <c r="G502" t="n">
        <v>62.59</v>
      </c>
      <c r="H502" t="n">
        <v>1</v>
      </c>
      <c r="I502" t="n">
        <v>2200</v>
      </c>
      <c r="J502" t="n">
        <v>1.6</v>
      </c>
      <c r="K502" t="n">
        <v>60</v>
      </c>
      <c r="L502" t="inlineStr">
        <is>
          <t>Under-represented</t>
        </is>
      </c>
    </row>
    <row r="503">
      <c r="A503" t="inlineStr">
        <is>
          <t>CON-500</t>
        </is>
      </c>
      <c r="B503" t="inlineStr">
        <is>
          <t>Uttar Pradesh</t>
        </is>
      </c>
      <c r="C503" t="inlineStr">
        <is>
          <t>Uttar_Dist_500</t>
        </is>
      </c>
      <c r="D503" t="inlineStr">
        <is>
          <t>General</t>
        </is>
      </c>
      <c r="E503" t="n">
        <v>2733</v>
      </c>
      <c r="F503" t="n">
        <v>4299</v>
      </c>
      <c r="G503" t="n">
        <v>84.44</v>
      </c>
      <c r="H503" t="n">
        <v>1</v>
      </c>
      <c r="I503" t="n">
        <v>2200</v>
      </c>
      <c r="J503" t="n">
        <v>1.95</v>
      </c>
      <c r="K503" t="n">
        <v>95</v>
      </c>
      <c r="L503" t="inlineStr">
        <is>
          <t>Under-represented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8" customWidth="1" min="4" max="4"/>
    <col width="22" customWidth="1" min="5" max="5"/>
    <col width="26" customWidth="1" min="6" max="6"/>
    <col width="18" customWidth="1" min="7" max="7"/>
    <col width="17" customWidth="1" min="8" max="8"/>
    <col width="20" customWidth="1" min="9" max="9"/>
    <col width="18" customWidth="1" min="10" max="10"/>
    <col width="20" customWidth="1" min="11" max="11"/>
    <col width="20" customWidth="1" min="12" max="12"/>
    <col width="22" customWidth="1" min="13" max="13"/>
    <col width="20" customWidth="1" min="14" max="14"/>
    <col width="22" customWidth="1" min="15" max="15"/>
  </cols>
  <sheetData>
    <row r="1">
      <c r="A1" s="13" t="inlineStr">
        <is>
          <t>Constituency ID</t>
        </is>
      </c>
      <c r="B1" s="13" t="inlineStr">
        <is>
          <t>State</t>
        </is>
      </c>
      <c r="C1" s="13" t="inlineStr">
        <is>
          <t>Constituency Name</t>
        </is>
      </c>
      <c r="D1" s="13" t="inlineStr">
        <is>
          <t>Constituency Type</t>
        </is>
      </c>
      <c r="E1" s="13" t="inlineStr">
        <is>
          <t>2001 Population (000s)</t>
        </is>
      </c>
      <c r="F1" s="13" t="inlineStr">
        <is>
          <t>Projected Population (000s)</t>
        </is>
      </c>
      <c r="G1" s="13" t="inlineStr">
        <is>
          <t>Voter Turnout (%)</t>
        </is>
      </c>
      <c r="H1" s="13" t="inlineStr">
        <is>
          <t>Representatives</t>
        </is>
      </c>
      <c r="I1" s="13" t="inlineStr">
        <is>
          <t>Ideal Pop Benchmark</t>
        </is>
      </c>
      <c r="J1" s="13" t="inlineStr">
        <is>
          <t>Inequality Ratio</t>
        </is>
      </c>
      <c r="K1" s="13" t="inlineStr">
        <is>
          <t>Disparity Index (%)</t>
        </is>
      </c>
      <c r="L1" s="13" t="inlineStr">
        <is>
          <t>Representation Status</t>
        </is>
      </c>
      <c r="M1" s="13" t="inlineStr">
        <is>
          <t>Population Growth (%)</t>
        </is>
      </c>
      <c r="N1" s="13" t="inlineStr">
        <is>
          <t>Population Gap (000s)</t>
        </is>
      </c>
    </row>
    <row r="2">
      <c r="A2" t="inlineStr">
        <is>
          <t>CON-001</t>
        </is>
      </c>
      <c r="B2" t="inlineStr">
        <is>
          <t>Maharashtra</t>
        </is>
      </c>
      <c r="C2" t="inlineStr">
        <is>
          <t>Maharashtra_Dist_1</t>
        </is>
      </c>
      <c r="D2" t="inlineStr">
        <is>
          <t>ST</t>
        </is>
      </c>
      <c r="E2" s="14" t="n">
        <v>1799</v>
      </c>
      <c r="F2" s="14" t="n">
        <v>2403</v>
      </c>
      <c r="G2" s="15" t="n">
        <v>74.27</v>
      </c>
      <c r="H2" t="n">
        <v>1</v>
      </c>
      <c r="I2" s="14" t="n">
        <v>2200</v>
      </c>
      <c r="J2" s="15" t="n">
        <v>1.09</v>
      </c>
      <c r="K2" s="15" t="n">
        <v>9</v>
      </c>
      <c r="L2" s="15" t="inlineStr">
        <is>
          <t>Balanced</t>
        </is>
      </c>
      <c r="M2" s="15">
        <f>IFERROR((F2-E2)/E2*100,0)</f>
        <v/>
      </c>
      <c r="N2" s="14">
        <f>F2-I2</f>
        <v/>
      </c>
      <c r="O2" s="14" t="n"/>
    </row>
    <row r="3">
      <c r="A3" t="inlineStr">
        <is>
          <t>CON-002</t>
        </is>
      </c>
      <c r="B3" t="inlineStr">
        <is>
          <t>Kerala</t>
        </is>
      </c>
      <c r="C3" t="inlineStr">
        <is>
          <t>Kerala_Dist_2</t>
        </is>
      </c>
      <c r="D3" t="inlineStr">
        <is>
          <t>General</t>
        </is>
      </c>
      <c r="E3" s="14" t="n">
        <v>2136</v>
      </c>
      <c r="F3" s="14" t="n">
        <v>2954</v>
      </c>
      <c r="G3" s="15" t="n">
        <v>77.31</v>
      </c>
      <c r="H3" t="n">
        <v>1</v>
      </c>
      <c r="I3" s="14" t="n">
        <v>2200</v>
      </c>
      <c r="J3" s="15" t="n">
        <v>1.34</v>
      </c>
      <c r="K3" s="15" t="n">
        <v>34</v>
      </c>
      <c r="L3" s="15" t="inlineStr">
        <is>
          <t>Under-represented</t>
        </is>
      </c>
      <c r="M3" s="15">
        <f>IFERROR((F3-E3)/E3*100,0)</f>
        <v/>
      </c>
      <c r="N3" s="14">
        <f>F3-I3</f>
        <v/>
      </c>
      <c r="O3" s="14" t="n"/>
    </row>
    <row r="4">
      <c r="A4" t="inlineStr">
        <is>
          <t>CON-003</t>
        </is>
      </c>
      <c r="B4" t="inlineStr">
        <is>
          <t>West Bengal</t>
        </is>
      </c>
      <c r="C4" t="inlineStr">
        <is>
          <t>West_Dist_3</t>
        </is>
      </c>
      <c r="D4" t="inlineStr">
        <is>
          <t>General</t>
        </is>
      </c>
      <c r="E4" s="14" t="n">
        <v>3288</v>
      </c>
      <c r="F4" s="14" t="n">
        <v>4409</v>
      </c>
      <c r="G4" s="15" t="n">
        <v>77.53</v>
      </c>
      <c r="H4" t="n">
        <v>1</v>
      </c>
      <c r="I4" s="14" t="n">
        <v>2200</v>
      </c>
      <c r="J4" s="15" t="n">
        <v>2</v>
      </c>
      <c r="K4" s="15" t="n">
        <v>100</v>
      </c>
      <c r="L4" s="15" t="inlineStr">
        <is>
          <t>Under-represented</t>
        </is>
      </c>
      <c r="M4" s="15">
        <f>IFERROR((F4-E4)/E4*100,0)</f>
        <v/>
      </c>
      <c r="N4" s="14">
        <f>F4-I4</f>
        <v/>
      </c>
      <c r="O4" s="14" t="n"/>
    </row>
    <row r="5">
      <c r="A5" t="inlineStr">
        <is>
          <t>CON-004</t>
        </is>
      </c>
      <c r="B5" t="inlineStr">
        <is>
          <t>Kerala</t>
        </is>
      </c>
      <c r="C5" t="inlineStr">
        <is>
          <t>Kerala_Dist_4</t>
        </is>
      </c>
      <c r="D5" t="inlineStr">
        <is>
          <t>General</t>
        </is>
      </c>
      <c r="E5" s="14" t="n">
        <v>3307</v>
      </c>
      <c r="F5" s="14" t="n">
        <v>5414</v>
      </c>
      <c r="G5" s="15" t="n">
        <v>83.78</v>
      </c>
      <c r="H5" t="n">
        <v>1</v>
      </c>
      <c r="I5" s="14" t="n">
        <v>2200</v>
      </c>
      <c r="J5" s="15" t="n">
        <v>2.46</v>
      </c>
      <c r="K5" s="15" t="n">
        <v>146</v>
      </c>
      <c r="L5" s="15" t="inlineStr">
        <is>
          <t>Under-represented</t>
        </is>
      </c>
      <c r="M5" s="15">
        <f>IFERROR((F5-E5)/E5*100,0)</f>
        <v/>
      </c>
      <c r="N5" s="14">
        <f>F5-I5</f>
        <v/>
      </c>
      <c r="O5" s="14" t="n"/>
    </row>
    <row r="6">
      <c r="A6" t="inlineStr">
        <is>
          <t>CON-005</t>
        </is>
      </c>
      <c r="B6" t="inlineStr">
        <is>
          <t>Bihar</t>
        </is>
      </c>
      <c r="C6" t="inlineStr">
        <is>
          <t>Bihar_Dist_5</t>
        </is>
      </c>
      <c r="D6" t="inlineStr">
        <is>
          <t>General</t>
        </is>
      </c>
      <c r="E6" s="14" t="n">
        <v>2843</v>
      </c>
      <c r="F6" s="14" t="n">
        <v>4679</v>
      </c>
      <c r="G6" s="15" t="n">
        <v>66.84</v>
      </c>
      <c r="H6" t="n">
        <v>1</v>
      </c>
      <c r="I6" s="14" t="n">
        <v>2200</v>
      </c>
      <c r="J6" s="15" t="n">
        <v>2.13</v>
      </c>
      <c r="K6" s="15" t="n">
        <v>113</v>
      </c>
      <c r="L6" s="15" t="inlineStr">
        <is>
          <t>Under-represented</t>
        </is>
      </c>
      <c r="M6" s="15">
        <f>IFERROR((F6-E6)/E6*100,0)</f>
        <v/>
      </c>
      <c r="N6" s="14">
        <f>F6-I6</f>
        <v/>
      </c>
      <c r="O6" s="14" t="n"/>
    </row>
    <row r="7">
      <c r="A7" t="inlineStr">
        <is>
          <t>CON-006</t>
        </is>
      </c>
      <c r="B7" t="inlineStr">
        <is>
          <t>Gujarat</t>
        </is>
      </c>
      <c r="C7" t="inlineStr">
        <is>
          <t>Gujarat_Dist_6</t>
        </is>
      </c>
      <c r="D7" t="inlineStr">
        <is>
          <t>General</t>
        </is>
      </c>
      <c r="E7" s="14" t="n">
        <v>2179</v>
      </c>
      <c r="F7" s="14" t="n">
        <v>3367</v>
      </c>
      <c r="G7" s="15" t="n">
        <v>66.34999999999999</v>
      </c>
      <c r="H7" t="n">
        <v>1</v>
      </c>
      <c r="I7" s="14" t="n">
        <v>2200</v>
      </c>
      <c r="J7" s="15" t="n">
        <v>1.53</v>
      </c>
      <c r="K7" s="15" t="n">
        <v>53</v>
      </c>
      <c r="L7" s="15" t="inlineStr">
        <is>
          <t>Under-represented</t>
        </is>
      </c>
      <c r="M7" s="15">
        <f>IFERROR((F7-E7)/E7*100,0)</f>
        <v/>
      </c>
      <c r="N7" s="14">
        <f>F7-I7</f>
        <v/>
      </c>
      <c r="O7" s="14" t="n"/>
    </row>
    <row r="8">
      <c r="A8" t="inlineStr">
        <is>
          <t>CON-007</t>
        </is>
      </c>
      <c r="B8" t="inlineStr">
        <is>
          <t>Karnataka</t>
        </is>
      </c>
      <c r="C8" t="inlineStr">
        <is>
          <t>Karnataka_Dist_7</t>
        </is>
      </c>
      <c r="D8" t="inlineStr">
        <is>
          <t>General</t>
        </is>
      </c>
      <c r="E8" s="14" t="n">
        <v>2626</v>
      </c>
      <c r="F8" s="14" t="n">
        <v>3751</v>
      </c>
      <c r="G8" s="15" t="n">
        <v>82.97</v>
      </c>
      <c r="H8" t="n">
        <v>1</v>
      </c>
      <c r="I8" s="14" t="n">
        <v>2200</v>
      </c>
      <c r="J8" s="15" t="n">
        <v>1.71</v>
      </c>
      <c r="K8" s="15" t="n">
        <v>71</v>
      </c>
      <c r="L8" s="15" t="inlineStr">
        <is>
          <t>Under-represented</t>
        </is>
      </c>
      <c r="M8" s="15">
        <f>IFERROR((F8-E8)/E8*100,0)</f>
        <v/>
      </c>
      <c r="N8" s="14">
        <f>F8-I8</f>
        <v/>
      </c>
      <c r="O8" s="14" t="n"/>
    </row>
    <row r="9">
      <c r="A9" t="inlineStr">
        <is>
          <t>CON-008</t>
        </is>
      </c>
      <c r="B9" t="inlineStr">
        <is>
          <t>Tamil Nadu</t>
        </is>
      </c>
      <c r="C9" t="inlineStr">
        <is>
          <t>Tamil_Dist_8</t>
        </is>
      </c>
      <c r="D9" t="inlineStr">
        <is>
          <t>SC</t>
        </is>
      </c>
      <c r="E9" s="14" t="n">
        <v>2364</v>
      </c>
      <c r="F9" s="14" t="n">
        <v>3120</v>
      </c>
      <c r="G9" s="15" t="n">
        <v>52.49</v>
      </c>
      <c r="H9" t="n">
        <v>1</v>
      </c>
      <c r="I9" s="14" t="n">
        <v>2200</v>
      </c>
      <c r="J9" s="15" t="n">
        <v>1.42</v>
      </c>
      <c r="K9" s="15" t="n">
        <v>42</v>
      </c>
      <c r="L9" s="15" t="inlineStr">
        <is>
          <t>Under-represented</t>
        </is>
      </c>
      <c r="M9" s="15">
        <f>IFERROR((F9-E9)/E9*100,0)</f>
        <v/>
      </c>
      <c r="N9" s="14">
        <f>F9-I9</f>
        <v/>
      </c>
      <c r="O9" s="14" t="n"/>
    </row>
    <row r="10">
      <c r="A10" t="inlineStr">
        <is>
          <t>CON-009</t>
        </is>
      </c>
      <c r="B10" t="inlineStr">
        <is>
          <t>Maharashtra</t>
        </is>
      </c>
      <c r="C10" t="inlineStr">
        <is>
          <t>Maharashtra_Dist_9</t>
        </is>
      </c>
      <c r="D10" t="inlineStr">
        <is>
          <t>SC</t>
        </is>
      </c>
      <c r="E10" s="14" t="n">
        <v>3746</v>
      </c>
      <c r="F10" s="14" t="n">
        <v>4981</v>
      </c>
      <c r="G10" s="15" t="n">
        <v>60.96</v>
      </c>
      <c r="H10" t="n">
        <v>1</v>
      </c>
      <c r="I10" s="14" t="n">
        <v>2200</v>
      </c>
      <c r="J10" s="15" t="n">
        <v>2.26</v>
      </c>
      <c r="K10" s="15" t="n">
        <v>126</v>
      </c>
      <c r="L10" s="15" t="inlineStr">
        <is>
          <t>Under-represented</t>
        </is>
      </c>
      <c r="M10" s="15">
        <f>IFERROR((F10-E10)/E10*100,0)</f>
        <v/>
      </c>
      <c r="N10" s="14">
        <f>F10-I10</f>
        <v/>
      </c>
      <c r="O10" s="14" t="n"/>
    </row>
    <row r="11">
      <c r="A11" t="inlineStr">
        <is>
          <t>CON-010</t>
        </is>
      </c>
      <c r="B11" t="inlineStr">
        <is>
          <t>Telangana</t>
        </is>
      </c>
      <c r="C11" t="inlineStr">
        <is>
          <t>Telangana_Dist_10</t>
        </is>
      </c>
      <c r="D11" t="inlineStr">
        <is>
          <t>General</t>
        </is>
      </c>
      <c r="E11" s="14" t="n">
        <v>3078</v>
      </c>
      <c r="F11" s="14" t="n">
        <v>4597</v>
      </c>
      <c r="G11" s="15" t="n">
        <v>74.12</v>
      </c>
      <c r="H11" t="n">
        <v>1</v>
      </c>
      <c r="I11" s="14" t="n">
        <v>2200</v>
      </c>
      <c r="J11" s="15" t="n">
        <v>2.09</v>
      </c>
      <c r="K11" s="15" t="n">
        <v>109</v>
      </c>
      <c r="L11" s="15" t="inlineStr">
        <is>
          <t>Under-represented</t>
        </is>
      </c>
      <c r="M11" s="15">
        <f>IFERROR((F11-E11)/E11*100,0)</f>
        <v/>
      </c>
      <c r="N11" s="14">
        <f>F11-I11</f>
        <v/>
      </c>
      <c r="O11" s="14" t="n"/>
    </row>
    <row r="12">
      <c r="A12" t="inlineStr">
        <is>
          <t>CON-011</t>
        </is>
      </c>
      <c r="B12" t="inlineStr">
        <is>
          <t>Andhra Pradesh</t>
        </is>
      </c>
      <c r="C12" t="inlineStr">
        <is>
          <t>Andhra_Dist_11</t>
        </is>
      </c>
      <c r="D12" t="inlineStr">
        <is>
          <t>General</t>
        </is>
      </c>
      <c r="E12" s="14" t="n">
        <v>2361</v>
      </c>
      <c r="F12" s="14" t="n">
        <v>3630</v>
      </c>
      <c r="G12" s="15" t="n">
        <v>55.91</v>
      </c>
      <c r="H12" t="n">
        <v>1</v>
      </c>
      <c r="I12" s="14" t="n">
        <v>2200</v>
      </c>
      <c r="J12" s="15" t="n">
        <v>1.65</v>
      </c>
      <c r="K12" s="15" t="n">
        <v>65</v>
      </c>
      <c r="L12" s="15" t="inlineStr">
        <is>
          <t>Under-represented</t>
        </is>
      </c>
      <c r="M12" s="15">
        <f>IFERROR((F12-E12)/E12*100,0)</f>
        <v/>
      </c>
      <c r="N12" s="14">
        <f>F12-I12</f>
        <v/>
      </c>
      <c r="O12" s="14" t="n"/>
    </row>
    <row r="13">
      <c r="A13" t="inlineStr">
        <is>
          <t>CON-012</t>
        </is>
      </c>
      <c r="B13" t="inlineStr">
        <is>
          <t>Maharashtra</t>
        </is>
      </c>
      <c r="C13" t="inlineStr">
        <is>
          <t>Maharashtra_Dist_12</t>
        </is>
      </c>
      <c r="D13" t="inlineStr">
        <is>
          <t>General</t>
        </is>
      </c>
      <c r="E13" s="14" t="n">
        <v>1740</v>
      </c>
      <c r="F13" s="14" t="n">
        <v>2938</v>
      </c>
      <c r="G13" s="15" t="n">
        <v>82.84999999999999</v>
      </c>
      <c r="H13" t="n">
        <v>1</v>
      </c>
      <c r="I13" s="14" t="n">
        <v>2200</v>
      </c>
      <c r="J13" s="15" t="n">
        <v>1.34</v>
      </c>
      <c r="K13" s="15" t="n">
        <v>34</v>
      </c>
      <c r="L13" s="15" t="inlineStr">
        <is>
          <t>Under-represented</t>
        </is>
      </c>
      <c r="M13" s="15">
        <f>IFERROR((F13-E13)/E13*100,0)</f>
        <v/>
      </c>
      <c r="N13" s="14">
        <f>F13-I13</f>
        <v/>
      </c>
      <c r="O13" s="14" t="n"/>
    </row>
    <row r="14">
      <c r="A14" t="inlineStr">
        <is>
          <t>CON-013</t>
        </is>
      </c>
      <c r="B14" t="inlineStr">
        <is>
          <t>West Bengal</t>
        </is>
      </c>
      <c r="C14" t="inlineStr">
        <is>
          <t>West_Dist_13</t>
        </is>
      </c>
      <c r="D14" t="inlineStr">
        <is>
          <t>General</t>
        </is>
      </c>
      <c r="E14" s="14" t="n">
        <v>3445</v>
      </c>
      <c r="F14" s="14" t="n">
        <v>4865</v>
      </c>
      <c r="G14" s="15" t="n">
        <v>55.82</v>
      </c>
      <c r="H14" t="n">
        <v>1</v>
      </c>
      <c r="I14" s="14" t="n">
        <v>2200</v>
      </c>
      <c r="J14" s="15" t="n">
        <v>2.21</v>
      </c>
      <c r="K14" s="15" t="n">
        <v>121</v>
      </c>
      <c r="L14" s="15" t="inlineStr">
        <is>
          <t>Under-represented</t>
        </is>
      </c>
      <c r="M14" s="15">
        <f>IFERROR((F14-E14)/E14*100,0)</f>
        <v/>
      </c>
      <c r="N14" s="14">
        <f>F14-I14</f>
        <v/>
      </c>
      <c r="O14" s="14" t="n"/>
    </row>
    <row r="15">
      <c r="A15" t="inlineStr">
        <is>
          <t>CON-014</t>
        </is>
      </c>
      <c r="B15" t="inlineStr">
        <is>
          <t>Telangana</t>
        </is>
      </c>
      <c r="C15" t="inlineStr">
        <is>
          <t>Telangana_Dist_14</t>
        </is>
      </c>
      <c r="D15" t="inlineStr">
        <is>
          <t>General</t>
        </is>
      </c>
      <c r="E15" s="14" t="n">
        <v>3319</v>
      </c>
      <c r="F15" s="14" t="n">
        <v>5720</v>
      </c>
      <c r="G15" s="15" t="n">
        <v>77.53</v>
      </c>
      <c r="H15" t="n">
        <v>1</v>
      </c>
      <c r="I15" s="14" t="n">
        <v>2200</v>
      </c>
      <c r="J15" s="15" t="n">
        <v>2.6</v>
      </c>
      <c r="K15" s="15" t="n">
        <v>160</v>
      </c>
      <c r="L15" s="15" t="inlineStr">
        <is>
          <t>Under-represented</t>
        </is>
      </c>
      <c r="M15" s="15">
        <f>IFERROR((F15-E15)/E15*100,0)</f>
        <v/>
      </c>
      <c r="N15" s="14">
        <f>F15-I15</f>
        <v/>
      </c>
      <c r="O15" s="14" t="n"/>
    </row>
    <row r="16">
      <c r="A16" t="inlineStr">
        <is>
          <t>CON-015</t>
        </is>
      </c>
      <c r="B16" t="inlineStr">
        <is>
          <t>Bihar</t>
        </is>
      </c>
      <c r="C16" t="inlineStr">
        <is>
          <t>Bihar_Dist_15</t>
        </is>
      </c>
      <c r="D16" t="inlineStr">
        <is>
          <t>General</t>
        </is>
      </c>
      <c r="E16" s="14" t="n">
        <v>1651</v>
      </c>
      <c r="F16" s="14" t="n">
        <v>2261</v>
      </c>
      <c r="G16" s="15" t="n">
        <v>57.27</v>
      </c>
      <c r="H16" t="n">
        <v>1</v>
      </c>
      <c r="I16" s="14" t="n">
        <v>2200</v>
      </c>
      <c r="J16" s="15" t="n">
        <v>1.03</v>
      </c>
      <c r="K16" s="15" t="n">
        <v>3</v>
      </c>
      <c r="L16" s="15" t="inlineStr">
        <is>
          <t>Balanced</t>
        </is>
      </c>
      <c r="M16" s="15">
        <f>IFERROR((F16-E16)/E16*100,0)</f>
        <v/>
      </c>
      <c r="N16" s="14">
        <f>F16-I16</f>
        <v/>
      </c>
      <c r="O16" s="14" t="n"/>
    </row>
    <row r="17">
      <c r="A17" t="inlineStr">
        <is>
          <t>CON-016</t>
        </is>
      </c>
      <c r="B17" t="inlineStr">
        <is>
          <t>Bihar</t>
        </is>
      </c>
      <c r="C17" t="inlineStr">
        <is>
          <t>Bihar_Dist_16</t>
        </is>
      </c>
      <c r="D17" t="inlineStr">
        <is>
          <t>General</t>
        </is>
      </c>
      <c r="E17" s="14" t="n">
        <v>3221</v>
      </c>
      <c r="F17" s="14" t="n">
        <v>4675</v>
      </c>
      <c r="G17" s="15" t="n">
        <v>57.82</v>
      </c>
      <c r="H17" t="n">
        <v>1</v>
      </c>
      <c r="I17" s="14" t="n">
        <v>2200</v>
      </c>
      <c r="J17" s="15" t="n">
        <v>2.12</v>
      </c>
      <c r="K17" s="15" t="n">
        <v>112</v>
      </c>
      <c r="L17" s="15" t="inlineStr">
        <is>
          <t>Under-represented</t>
        </is>
      </c>
      <c r="M17" s="15">
        <f>IFERROR((F17-E17)/E17*100,0)</f>
        <v/>
      </c>
      <c r="N17" s="14">
        <f>F17-I17</f>
        <v/>
      </c>
      <c r="O17" s="14" t="n"/>
    </row>
    <row r="18">
      <c r="A18" t="inlineStr">
        <is>
          <t>CON-017</t>
        </is>
      </c>
      <c r="B18" t="inlineStr">
        <is>
          <t>West Bengal</t>
        </is>
      </c>
      <c r="C18" t="inlineStr">
        <is>
          <t>West_Dist_17</t>
        </is>
      </c>
      <c r="D18" t="inlineStr">
        <is>
          <t>SC</t>
        </is>
      </c>
      <c r="E18" s="14" t="n">
        <v>2478</v>
      </c>
      <c r="F18" s="14" t="n">
        <v>3567</v>
      </c>
      <c r="G18" s="15" t="n">
        <v>66.63</v>
      </c>
      <c r="H18" t="n">
        <v>1</v>
      </c>
      <c r="I18" s="14" t="n">
        <v>2200</v>
      </c>
      <c r="J18" s="15" t="n">
        <v>1.62</v>
      </c>
      <c r="K18" s="15" t="n">
        <v>62</v>
      </c>
      <c r="L18" s="15" t="inlineStr">
        <is>
          <t>Under-represented</t>
        </is>
      </c>
      <c r="M18" s="15">
        <f>IFERROR((F18-E18)/E18*100,0)</f>
        <v/>
      </c>
      <c r="N18" s="14">
        <f>F18-I18</f>
        <v/>
      </c>
      <c r="O18" s="14" t="n"/>
    </row>
    <row r="19">
      <c r="A19" t="inlineStr">
        <is>
          <t>CON-018</t>
        </is>
      </c>
      <c r="B19" t="inlineStr">
        <is>
          <t>Karnataka</t>
        </is>
      </c>
      <c r="C19" t="inlineStr">
        <is>
          <t>Karnataka_Dist_18</t>
        </is>
      </c>
      <c r="D19" t="inlineStr">
        <is>
          <t>General</t>
        </is>
      </c>
      <c r="E19" s="14" t="n">
        <v>3253</v>
      </c>
      <c r="F19" s="14" t="n">
        <v>5199</v>
      </c>
      <c r="G19" s="15" t="n">
        <v>63.84</v>
      </c>
      <c r="H19" t="n">
        <v>1</v>
      </c>
      <c r="I19" s="14" t="n">
        <v>2200</v>
      </c>
      <c r="J19" s="15" t="n">
        <v>2.36</v>
      </c>
      <c r="K19" s="15" t="n">
        <v>136</v>
      </c>
      <c r="L19" s="15" t="inlineStr">
        <is>
          <t>Under-represented</t>
        </is>
      </c>
      <c r="M19" s="15">
        <f>IFERROR((F19-E19)/E19*100,0)</f>
        <v/>
      </c>
      <c r="N19" s="14">
        <f>F19-I19</f>
        <v/>
      </c>
      <c r="O19" s="14" t="n"/>
    </row>
    <row r="20">
      <c r="A20" t="inlineStr">
        <is>
          <t>CON-019</t>
        </is>
      </c>
      <c r="B20" t="inlineStr">
        <is>
          <t>Uttar Pradesh</t>
        </is>
      </c>
      <c r="C20" t="inlineStr">
        <is>
          <t>Uttar_Dist_19</t>
        </is>
      </c>
      <c r="D20" t="inlineStr">
        <is>
          <t>General</t>
        </is>
      </c>
      <c r="E20" s="14" t="n">
        <v>2867</v>
      </c>
      <c r="F20" s="14" t="n">
        <v>4162</v>
      </c>
      <c r="G20" s="15" t="n">
        <v>61.03</v>
      </c>
      <c r="H20" t="n">
        <v>1</v>
      </c>
      <c r="I20" s="14" t="n">
        <v>2200</v>
      </c>
      <c r="J20" s="15" t="n">
        <v>1.89</v>
      </c>
      <c r="K20" s="15" t="n">
        <v>89</v>
      </c>
      <c r="L20" s="15" t="inlineStr">
        <is>
          <t>Under-represented</t>
        </is>
      </c>
      <c r="M20" s="15">
        <f>IFERROR((F20-E20)/E20*100,0)</f>
        <v/>
      </c>
      <c r="N20" s="14">
        <f>F20-I20</f>
        <v/>
      </c>
      <c r="O20" s="14" t="n"/>
    </row>
    <row r="21">
      <c r="A21" t="inlineStr">
        <is>
          <t>CON-020</t>
        </is>
      </c>
      <c r="B21" t="inlineStr">
        <is>
          <t>Maharashtra</t>
        </is>
      </c>
      <c r="C21" t="inlineStr">
        <is>
          <t>Maharashtra_Dist_20</t>
        </is>
      </c>
      <c r="D21" t="inlineStr">
        <is>
          <t>General</t>
        </is>
      </c>
      <c r="E21" s="14" t="n">
        <v>1453</v>
      </c>
      <c r="F21" s="14" t="n">
        <v>2496</v>
      </c>
      <c r="G21" s="15" t="n">
        <v>74.68000000000001</v>
      </c>
      <c r="H21" t="n">
        <v>1</v>
      </c>
      <c r="I21" s="14" t="n">
        <v>2200</v>
      </c>
      <c r="J21" s="15" t="n">
        <v>1.13</v>
      </c>
      <c r="K21" s="15" t="n">
        <v>13</v>
      </c>
      <c r="L21" s="15" t="inlineStr">
        <is>
          <t>Balanced</t>
        </is>
      </c>
      <c r="M21" s="15">
        <f>IFERROR((F21-E21)/E21*100,0)</f>
        <v/>
      </c>
      <c r="N21" s="14">
        <f>F21-I21</f>
        <v/>
      </c>
      <c r="O21" s="14" t="n"/>
    </row>
    <row r="22">
      <c r="A22" t="inlineStr">
        <is>
          <t>CON-021</t>
        </is>
      </c>
      <c r="B22" t="inlineStr">
        <is>
          <t>Karnataka</t>
        </is>
      </c>
      <c r="C22" t="inlineStr">
        <is>
          <t>Karnataka_Dist_21</t>
        </is>
      </c>
      <c r="D22" t="inlineStr">
        <is>
          <t>General</t>
        </is>
      </c>
      <c r="E22" s="14" t="n">
        <v>2028</v>
      </c>
      <c r="F22" s="14" t="n">
        <v>2646</v>
      </c>
      <c r="G22" s="15" t="n">
        <v>60.28</v>
      </c>
      <c r="H22" t="n">
        <v>1</v>
      </c>
      <c r="I22" s="14" t="n">
        <v>2200</v>
      </c>
      <c r="J22" s="15" t="n">
        <v>1.2</v>
      </c>
      <c r="K22" s="15" t="n">
        <v>20</v>
      </c>
      <c r="L22" s="15" t="inlineStr">
        <is>
          <t>Balanced</t>
        </is>
      </c>
      <c r="M22" s="15">
        <f>IFERROR((F22-E22)/E22*100,0)</f>
        <v/>
      </c>
      <c r="N22" s="14">
        <f>F22-I22</f>
        <v/>
      </c>
      <c r="O22" s="14" t="n"/>
    </row>
    <row r="23">
      <c r="A23" t="inlineStr">
        <is>
          <t>CON-022</t>
        </is>
      </c>
      <c r="B23" t="inlineStr">
        <is>
          <t>West Bengal</t>
        </is>
      </c>
      <c r="C23" t="inlineStr">
        <is>
          <t>West_Dist_22</t>
        </is>
      </c>
      <c r="D23" t="inlineStr">
        <is>
          <t>General</t>
        </is>
      </c>
      <c r="E23" s="14" t="n">
        <v>1419</v>
      </c>
      <c r="F23" s="14" t="n">
        <v>2192</v>
      </c>
      <c r="G23" s="15" t="n">
        <v>69.19</v>
      </c>
      <c r="H23" t="n">
        <v>1</v>
      </c>
      <c r="I23" s="14" t="n">
        <v>2200</v>
      </c>
      <c r="J23" s="15" t="n">
        <v>1</v>
      </c>
      <c r="K23" s="15" t="n">
        <v>0</v>
      </c>
      <c r="L23" s="15" t="inlineStr">
        <is>
          <t>Balanced</t>
        </is>
      </c>
      <c r="M23" s="15">
        <f>IFERROR((F23-E23)/E23*100,0)</f>
        <v/>
      </c>
      <c r="N23" s="14">
        <f>F23-I23</f>
        <v/>
      </c>
      <c r="O23" s="14" t="n"/>
    </row>
    <row r="24">
      <c r="A24" t="inlineStr">
        <is>
          <t>CON-023</t>
        </is>
      </c>
      <c r="B24" t="inlineStr">
        <is>
          <t>Andhra Pradesh</t>
        </is>
      </c>
      <c r="C24" t="inlineStr">
        <is>
          <t>Andhra_Dist_23</t>
        </is>
      </c>
      <c r="D24" t="inlineStr">
        <is>
          <t>ST</t>
        </is>
      </c>
      <c r="E24" s="14" t="n">
        <v>3315</v>
      </c>
      <c r="F24" s="14" t="n">
        <v>4471</v>
      </c>
      <c r="G24" s="15" t="n">
        <v>69.04000000000001</v>
      </c>
      <c r="H24" t="n">
        <v>1</v>
      </c>
      <c r="I24" s="14" t="n">
        <v>2200</v>
      </c>
      <c r="J24" s="15" t="n">
        <v>2.03</v>
      </c>
      <c r="K24" s="15" t="n">
        <v>103</v>
      </c>
      <c r="L24" s="15" t="inlineStr">
        <is>
          <t>Under-represented</t>
        </is>
      </c>
      <c r="M24" s="15">
        <f>IFERROR((F24-E24)/E24*100,0)</f>
        <v/>
      </c>
      <c r="N24" s="14">
        <f>F24-I24</f>
        <v/>
      </c>
      <c r="O24" s="14" t="n"/>
    </row>
    <row r="25">
      <c r="A25" t="inlineStr">
        <is>
          <t>CON-024</t>
        </is>
      </c>
      <c r="B25" t="inlineStr">
        <is>
          <t>Karnataka</t>
        </is>
      </c>
      <c r="C25" t="inlineStr">
        <is>
          <t>Karnataka_Dist_24</t>
        </is>
      </c>
      <c r="D25" t="inlineStr">
        <is>
          <t>SC</t>
        </is>
      </c>
      <c r="E25" s="14" t="n">
        <v>3518</v>
      </c>
      <c r="F25" s="14" t="n">
        <v>5437</v>
      </c>
      <c r="G25" s="15" t="n">
        <v>82.45999999999999</v>
      </c>
      <c r="H25" t="n">
        <v>1</v>
      </c>
      <c r="I25" s="14" t="n">
        <v>2200</v>
      </c>
      <c r="J25" s="15" t="n">
        <v>2.47</v>
      </c>
      <c r="K25" s="15" t="n">
        <v>147</v>
      </c>
      <c r="L25" s="15" t="inlineStr">
        <is>
          <t>Under-represented</t>
        </is>
      </c>
      <c r="M25" s="15">
        <f>IFERROR((F25-E25)/E25*100,0)</f>
        <v/>
      </c>
      <c r="N25" s="14">
        <f>F25-I25</f>
        <v/>
      </c>
      <c r="O25" s="14" t="n"/>
    </row>
    <row r="26">
      <c r="A26" t="inlineStr">
        <is>
          <t>CON-025</t>
        </is>
      </c>
      <c r="B26" t="inlineStr">
        <is>
          <t>Karnataka</t>
        </is>
      </c>
      <c r="C26" t="inlineStr">
        <is>
          <t>Karnataka_Dist_25</t>
        </is>
      </c>
      <c r="D26" t="inlineStr">
        <is>
          <t>General</t>
        </is>
      </c>
      <c r="E26" s="14" t="n">
        <v>2679</v>
      </c>
      <c r="F26" s="14" t="n">
        <v>3609</v>
      </c>
      <c r="G26" s="15" t="n">
        <v>68.20999999999999</v>
      </c>
      <c r="H26" t="n">
        <v>1</v>
      </c>
      <c r="I26" s="14" t="n">
        <v>2200</v>
      </c>
      <c r="J26" s="15" t="n">
        <v>1.64</v>
      </c>
      <c r="K26" s="15" t="n">
        <v>64</v>
      </c>
      <c r="L26" s="15" t="inlineStr">
        <is>
          <t>Under-represented</t>
        </is>
      </c>
      <c r="M26" s="15">
        <f>IFERROR((F26-E26)/E26*100,0)</f>
        <v/>
      </c>
      <c r="N26" s="14">
        <f>F26-I26</f>
        <v/>
      </c>
      <c r="O26" s="14" t="n"/>
    </row>
    <row r="27">
      <c r="A27" t="inlineStr">
        <is>
          <t>CON-026</t>
        </is>
      </c>
      <c r="B27" t="inlineStr">
        <is>
          <t>Tamil Nadu</t>
        </is>
      </c>
      <c r="C27" t="inlineStr">
        <is>
          <t>Tamil_Dist_26</t>
        </is>
      </c>
      <c r="D27" t="inlineStr">
        <is>
          <t>General</t>
        </is>
      </c>
      <c r="E27" s="14" t="n">
        <v>3483</v>
      </c>
      <c r="F27" s="14" t="n">
        <v>5437</v>
      </c>
      <c r="G27" s="15" t="n">
        <v>71.79000000000001</v>
      </c>
      <c r="H27" t="n">
        <v>1</v>
      </c>
      <c r="I27" s="14" t="n">
        <v>2200</v>
      </c>
      <c r="J27" s="15" t="n">
        <v>2.47</v>
      </c>
      <c r="K27" s="15" t="n">
        <v>147</v>
      </c>
      <c r="L27" s="15" t="inlineStr">
        <is>
          <t>Under-represented</t>
        </is>
      </c>
      <c r="M27" s="15">
        <f>IFERROR((F27-E27)/E27*100,0)</f>
        <v/>
      </c>
      <c r="N27" s="14">
        <f>F27-I27</f>
        <v/>
      </c>
      <c r="O27" s="14" t="n"/>
    </row>
    <row r="28">
      <c r="A28" t="inlineStr">
        <is>
          <t>CON-027</t>
        </is>
      </c>
      <c r="B28" t="inlineStr">
        <is>
          <t>Telangana</t>
        </is>
      </c>
      <c r="C28" t="inlineStr">
        <is>
          <t>Telangana_Dist_27</t>
        </is>
      </c>
      <c r="D28" t="inlineStr">
        <is>
          <t>General</t>
        </is>
      </c>
      <c r="E28" s="14" t="n">
        <v>2300</v>
      </c>
      <c r="F28" s="14" t="n">
        <v>3150</v>
      </c>
      <c r="G28" s="15" t="n">
        <v>73.23</v>
      </c>
      <c r="H28" t="n">
        <v>1</v>
      </c>
      <c r="I28" s="14" t="n">
        <v>2200</v>
      </c>
      <c r="J28" s="15" t="n">
        <v>1.43</v>
      </c>
      <c r="K28" s="15" t="n">
        <v>43</v>
      </c>
      <c r="L28" s="15" t="inlineStr">
        <is>
          <t>Under-represented</t>
        </is>
      </c>
      <c r="M28" s="15">
        <f>IFERROR((F28-E28)/E28*100,0)</f>
        <v/>
      </c>
      <c r="N28" s="14">
        <f>F28-I28</f>
        <v/>
      </c>
      <c r="O28" s="14" t="n"/>
    </row>
    <row r="29">
      <c r="A29" t="inlineStr">
        <is>
          <t>CON-028</t>
        </is>
      </c>
      <c r="B29" t="inlineStr">
        <is>
          <t>Maharashtra</t>
        </is>
      </c>
      <c r="C29" t="inlineStr">
        <is>
          <t>Maharashtra_Dist_28</t>
        </is>
      </c>
      <c r="D29" t="inlineStr">
        <is>
          <t>General</t>
        </is>
      </c>
      <c r="E29" s="14" t="n">
        <v>1792</v>
      </c>
      <c r="F29" s="14" t="n">
        <v>2804</v>
      </c>
      <c r="G29" s="15" t="n">
        <v>62.87</v>
      </c>
      <c r="H29" t="n">
        <v>1</v>
      </c>
      <c r="I29" s="14" t="n">
        <v>2200</v>
      </c>
      <c r="J29" s="15" t="n">
        <v>1.27</v>
      </c>
      <c r="K29" s="15" t="n">
        <v>27</v>
      </c>
      <c r="L29" s="15" t="inlineStr">
        <is>
          <t>Under-represented</t>
        </is>
      </c>
      <c r="M29" s="15">
        <f>IFERROR((F29-E29)/E29*100,0)</f>
        <v/>
      </c>
      <c r="N29" s="14">
        <f>F29-I29</f>
        <v/>
      </c>
      <c r="O29" s="14" t="n"/>
    </row>
    <row r="30">
      <c r="A30" t="inlineStr">
        <is>
          <t>CON-029</t>
        </is>
      </c>
      <c r="B30" t="inlineStr">
        <is>
          <t>Gujarat</t>
        </is>
      </c>
      <c r="C30" t="inlineStr">
        <is>
          <t>Gujarat_Dist_29</t>
        </is>
      </c>
      <c r="D30" t="inlineStr">
        <is>
          <t>ST</t>
        </is>
      </c>
      <c r="E30" s="14" t="n">
        <v>3596</v>
      </c>
      <c r="F30" s="14" t="n">
        <v>4925</v>
      </c>
      <c r="G30" s="15" t="n">
        <v>58.63</v>
      </c>
      <c r="H30" t="n">
        <v>1</v>
      </c>
      <c r="I30" s="14" t="n">
        <v>2200</v>
      </c>
      <c r="J30" s="15" t="n">
        <v>2.24</v>
      </c>
      <c r="K30" s="15" t="n">
        <v>124</v>
      </c>
      <c r="L30" s="15" t="inlineStr">
        <is>
          <t>Under-represented</t>
        </is>
      </c>
      <c r="M30" s="15">
        <f>IFERROR((F30-E30)/E30*100,0)</f>
        <v/>
      </c>
      <c r="N30" s="14">
        <f>F30-I30</f>
        <v/>
      </c>
      <c r="O30" s="14" t="n"/>
    </row>
    <row r="31">
      <c r="A31" t="inlineStr">
        <is>
          <t>CON-030</t>
        </is>
      </c>
      <c r="B31" t="inlineStr">
        <is>
          <t>Tamil Nadu</t>
        </is>
      </c>
      <c r="C31" t="inlineStr">
        <is>
          <t>Tamil_Dist_30</t>
        </is>
      </c>
      <c r="D31" t="inlineStr">
        <is>
          <t>General</t>
        </is>
      </c>
      <c r="E31" s="14" t="n">
        <v>1297</v>
      </c>
      <c r="F31" s="14" t="n">
        <v>1692</v>
      </c>
      <c r="G31" s="15" t="n">
        <v>72.34</v>
      </c>
      <c r="H31" t="n">
        <v>1</v>
      </c>
      <c r="I31" s="14" t="n">
        <v>2200</v>
      </c>
      <c r="J31" s="15" t="n">
        <v>0.77</v>
      </c>
      <c r="K31" s="15" t="n">
        <v>23</v>
      </c>
      <c r="L31" s="15" t="inlineStr">
        <is>
          <t>Over-represented</t>
        </is>
      </c>
      <c r="M31" s="15">
        <f>IFERROR((F31-E31)/E31*100,0)</f>
        <v/>
      </c>
      <c r="N31" s="14">
        <f>F31-I31</f>
        <v/>
      </c>
      <c r="O31" s="14" t="n"/>
    </row>
    <row r="32">
      <c r="A32" t="inlineStr">
        <is>
          <t>CON-031</t>
        </is>
      </c>
      <c r="B32" t="inlineStr">
        <is>
          <t>Kerala</t>
        </is>
      </c>
      <c r="C32" t="inlineStr">
        <is>
          <t>Kerala_Dist_31</t>
        </is>
      </c>
      <c r="D32" t="inlineStr">
        <is>
          <t>General</t>
        </is>
      </c>
      <c r="E32" s="14" t="n">
        <v>3440</v>
      </c>
      <c r="F32" s="14" t="n">
        <v>5815</v>
      </c>
      <c r="G32" s="15" t="n">
        <v>74.59999999999999</v>
      </c>
      <c r="H32" t="n">
        <v>1</v>
      </c>
      <c r="I32" s="14" t="n">
        <v>2200</v>
      </c>
      <c r="J32" s="15" t="n">
        <v>2.64</v>
      </c>
      <c r="K32" s="15" t="n">
        <v>164</v>
      </c>
      <c r="L32" s="15" t="inlineStr">
        <is>
          <t>Under-represented</t>
        </is>
      </c>
      <c r="M32" s="15">
        <f>IFERROR((F32-E32)/E32*100,0)</f>
        <v/>
      </c>
      <c r="N32" s="14">
        <f>F32-I32</f>
        <v/>
      </c>
      <c r="O32" s="14" t="n"/>
    </row>
    <row r="33">
      <c r="A33" t="inlineStr">
        <is>
          <t>CON-032</t>
        </is>
      </c>
      <c r="B33" t="inlineStr">
        <is>
          <t>Tamil Nadu</t>
        </is>
      </c>
      <c r="C33" t="inlineStr">
        <is>
          <t>Tamil_Dist_32</t>
        </is>
      </c>
      <c r="D33" t="inlineStr">
        <is>
          <t>SC</t>
        </is>
      </c>
      <c r="E33" s="14" t="n">
        <v>1363</v>
      </c>
      <c r="F33" s="14" t="n">
        <v>2270</v>
      </c>
      <c r="G33" s="15" t="n">
        <v>58.6</v>
      </c>
      <c r="H33" t="n">
        <v>1</v>
      </c>
      <c r="I33" s="14" t="n">
        <v>2200</v>
      </c>
      <c r="J33" s="15" t="n">
        <v>1.03</v>
      </c>
      <c r="K33" s="15" t="n">
        <v>3</v>
      </c>
      <c r="L33" s="15" t="inlineStr">
        <is>
          <t>Balanced</t>
        </is>
      </c>
      <c r="M33" s="15">
        <f>IFERROR((F33-E33)/E33*100,0)</f>
        <v/>
      </c>
      <c r="N33" s="14">
        <f>F33-I33</f>
        <v/>
      </c>
      <c r="O33" s="14" t="n"/>
    </row>
    <row r="34">
      <c r="A34" t="inlineStr">
        <is>
          <t>CON-033</t>
        </is>
      </c>
      <c r="B34" t="inlineStr">
        <is>
          <t>Maharashtra</t>
        </is>
      </c>
      <c r="C34" t="inlineStr">
        <is>
          <t>Maharashtra_Dist_33</t>
        </is>
      </c>
      <c r="D34" t="inlineStr">
        <is>
          <t>General</t>
        </is>
      </c>
      <c r="E34" s="14" t="n">
        <v>2975</v>
      </c>
      <c r="F34" s="14" t="n">
        <v>4129</v>
      </c>
      <c r="G34" s="15" t="n">
        <v>70.88</v>
      </c>
      <c r="H34" t="n">
        <v>1</v>
      </c>
      <c r="I34" s="14" t="n">
        <v>2200</v>
      </c>
      <c r="J34" s="15" t="n">
        <v>1.88</v>
      </c>
      <c r="K34" s="15" t="n">
        <v>88</v>
      </c>
      <c r="L34" s="15" t="inlineStr">
        <is>
          <t>Under-represented</t>
        </is>
      </c>
      <c r="M34" s="15">
        <f>IFERROR((F34-E34)/E34*100,0)</f>
        <v/>
      </c>
      <c r="N34" s="14">
        <f>F34-I34</f>
        <v/>
      </c>
      <c r="O34" s="14" t="n"/>
    </row>
    <row r="35">
      <c r="A35" t="inlineStr">
        <is>
          <t>CON-034</t>
        </is>
      </c>
      <c r="B35" t="inlineStr">
        <is>
          <t>Andhra Pradesh</t>
        </is>
      </c>
      <c r="C35" t="inlineStr">
        <is>
          <t>Andhra_Dist_34</t>
        </is>
      </c>
      <c r="D35" t="inlineStr">
        <is>
          <t>SC</t>
        </is>
      </c>
      <c r="E35" s="14" t="n">
        <v>2225</v>
      </c>
      <c r="F35" s="14" t="n">
        <v>2850</v>
      </c>
      <c r="G35" s="15" t="n">
        <v>82.18000000000001</v>
      </c>
      <c r="H35" t="n">
        <v>1</v>
      </c>
      <c r="I35" s="14" t="n">
        <v>2200</v>
      </c>
      <c r="J35" s="15" t="n">
        <v>1.3</v>
      </c>
      <c r="K35" s="15" t="n">
        <v>30</v>
      </c>
      <c r="L35" s="15" t="inlineStr">
        <is>
          <t>Under-represented</t>
        </is>
      </c>
      <c r="M35" s="15">
        <f>IFERROR((F35-E35)/E35*100,0)</f>
        <v/>
      </c>
      <c r="N35" s="14">
        <f>F35-I35</f>
        <v/>
      </c>
      <c r="O35" s="14" t="n"/>
    </row>
    <row r="36">
      <c r="A36" t="inlineStr">
        <is>
          <t>CON-035</t>
        </is>
      </c>
      <c r="B36" t="inlineStr">
        <is>
          <t>Bihar</t>
        </is>
      </c>
      <c r="C36" t="inlineStr">
        <is>
          <t>Bihar_Dist_35</t>
        </is>
      </c>
      <c r="D36" t="inlineStr">
        <is>
          <t>ST</t>
        </is>
      </c>
      <c r="E36" s="14" t="n">
        <v>3425</v>
      </c>
      <c r="F36" s="14" t="n">
        <v>5622</v>
      </c>
      <c r="G36" s="15" t="n">
        <v>82.04000000000001</v>
      </c>
      <c r="H36" t="n">
        <v>1</v>
      </c>
      <c r="I36" s="14" t="n">
        <v>2200</v>
      </c>
      <c r="J36" s="15" t="n">
        <v>2.56</v>
      </c>
      <c r="K36" s="15" t="n">
        <v>156</v>
      </c>
      <c r="L36" s="15" t="inlineStr">
        <is>
          <t>Under-represented</t>
        </is>
      </c>
      <c r="M36" s="15">
        <f>IFERROR((F36-E36)/E36*100,0)</f>
        <v/>
      </c>
      <c r="N36" s="14">
        <f>F36-I36</f>
        <v/>
      </c>
      <c r="O36" s="14" t="n"/>
    </row>
    <row r="37">
      <c r="A37" t="inlineStr">
        <is>
          <t>CON-036</t>
        </is>
      </c>
      <c r="B37" t="inlineStr">
        <is>
          <t>Telangana</t>
        </is>
      </c>
      <c r="C37" t="inlineStr">
        <is>
          <t>Telangana_Dist_36</t>
        </is>
      </c>
      <c r="D37" t="inlineStr">
        <is>
          <t>General</t>
        </is>
      </c>
      <c r="E37" s="14" t="n">
        <v>1678</v>
      </c>
      <c r="F37" s="14" t="n">
        <v>2601</v>
      </c>
      <c r="G37" s="15" t="n">
        <v>60.02</v>
      </c>
      <c r="H37" t="n">
        <v>1</v>
      </c>
      <c r="I37" s="14" t="n">
        <v>2200</v>
      </c>
      <c r="J37" s="15" t="n">
        <v>1.18</v>
      </c>
      <c r="K37" s="15" t="n">
        <v>18</v>
      </c>
      <c r="L37" s="15" t="inlineStr">
        <is>
          <t>Balanced</t>
        </is>
      </c>
      <c r="M37" s="15">
        <f>IFERROR((F37-E37)/E37*100,0)</f>
        <v/>
      </c>
      <c r="N37" s="14">
        <f>F37-I37</f>
        <v/>
      </c>
      <c r="O37" s="14" t="n"/>
    </row>
    <row r="38">
      <c r="A38" t="inlineStr">
        <is>
          <t>CON-037</t>
        </is>
      </c>
      <c r="B38" t="inlineStr">
        <is>
          <t>Telangana</t>
        </is>
      </c>
      <c r="C38" t="inlineStr">
        <is>
          <t>Telangana_Dist_37</t>
        </is>
      </c>
      <c r="D38" t="inlineStr">
        <is>
          <t>General</t>
        </is>
      </c>
      <c r="E38" s="14" t="n">
        <v>3393</v>
      </c>
      <c r="F38" s="14" t="n">
        <v>4754</v>
      </c>
      <c r="G38" s="15" t="n">
        <v>71.8</v>
      </c>
      <c r="H38" t="n">
        <v>1</v>
      </c>
      <c r="I38" s="14" t="n">
        <v>2200</v>
      </c>
      <c r="J38" s="15" t="n">
        <v>2.16</v>
      </c>
      <c r="K38" s="15" t="n">
        <v>116</v>
      </c>
      <c r="L38" s="15" t="inlineStr">
        <is>
          <t>Under-represented</t>
        </is>
      </c>
      <c r="M38" s="15">
        <f>IFERROR((F38-E38)/E38*100,0)</f>
        <v/>
      </c>
      <c r="N38" s="14">
        <f>F38-I38</f>
        <v/>
      </c>
      <c r="O38" s="14" t="n"/>
    </row>
    <row r="39">
      <c r="A39" t="inlineStr">
        <is>
          <t>CON-038</t>
        </is>
      </c>
      <c r="B39" t="inlineStr">
        <is>
          <t>Uttar Pradesh</t>
        </is>
      </c>
      <c r="C39" t="inlineStr">
        <is>
          <t>Uttar_Dist_38</t>
        </is>
      </c>
      <c r="D39" t="inlineStr">
        <is>
          <t>General</t>
        </is>
      </c>
      <c r="E39" s="14" t="n">
        <v>2803</v>
      </c>
      <c r="F39" s="14" t="n">
        <v>4726</v>
      </c>
      <c r="G39" s="15" t="n">
        <v>80.95</v>
      </c>
      <c r="H39" t="n">
        <v>1</v>
      </c>
      <c r="I39" s="14" t="n">
        <v>2200</v>
      </c>
      <c r="J39" s="15" t="n">
        <v>2.15</v>
      </c>
      <c r="K39" s="15" t="n">
        <v>115</v>
      </c>
      <c r="L39" s="15" t="inlineStr">
        <is>
          <t>Under-represented</t>
        </is>
      </c>
      <c r="M39" s="15">
        <f>IFERROR((F39-E39)/E39*100,0)</f>
        <v/>
      </c>
      <c r="N39" s="14">
        <f>F39-I39</f>
        <v/>
      </c>
      <c r="O39" s="14" t="n"/>
    </row>
    <row r="40">
      <c r="A40" t="inlineStr">
        <is>
          <t>CON-039</t>
        </is>
      </c>
      <c r="B40" t="inlineStr">
        <is>
          <t>Gujarat</t>
        </is>
      </c>
      <c r="C40" t="inlineStr">
        <is>
          <t>Gujarat_Dist_39</t>
        </is>
      </c>
      <c r="D40" t="inlineStr">
        <is>
          <t>General</t>
        </is>
      </c>
      <c r="E40" s="14" t="n">
        <v>2213</v>
      </c>
      <c r="F40" s="14" t="n">
        <v>3242</v>
      </c>
      <c r="G40" s="15" t="n">
        <v>74</v>
      </c>
      <c r="H40" t="n">
        <v>1</v>
      </c>
      <c r="I40" s="14" t="n">
        <v>2200</v>
      </c>
      <c r="J40" s="15" t="n">
        <v>1.47</v>
      </c>
      <c r="K40" s="15" t="n">
        <v>47</v>
      </c>
      <c r="L40" s="15" t="inlineStr">
        <is>
          <t>Under-represented</t>
        </is>
      </c>
      <c r="M40" s="15">
        <f>IFERROR((F40-E40)/E40*100,0)</f>
        <v/>
      </c>
      <c r="N40" s="14">
        <f>F40-I40</f>
        <v/>
      </c>
      <c r="O40" s="14" t="n"/>
    </row>
    <row r="41">
      <c r="A41" t="inlineStr">
        <is>
          <t>CON-040</t>
        </is>
      </c>
      <c r="B41" t="inlineStr">
        <is>
          <t>West Bengal</t>
        </is>
      </c>
      <c r="C41" t="inlineStr">
        <is>
          <t>West_Dist_40</t>
        </is>
      </c>
      <c r="D41" t="inlineStr">
        <is>
          <t>General</t>
        </is>
      </c>
      <c r="E41" s="14" t="n">
        <v>3212</v>
      </c>
      <c r="F41" s="14" t="n">
        <v>5201</v>
      </c>
      <c r="G41" s="15" t="n">
        <v>81.81999999999999</v>
      </c>
      <c r="H41" t="n">
        <v>1</v>
      </c>
      <c r="I41" s="14" t="n">
        <v>2200</v>
      </c>
      <c r="J41" s="15" t="n">
        <v>2.36</v>
      </c>
      <c r="K41" s="15" t="n">
        <v>136</v>
      </c>
      <c r="L41" s="15" t="inlineStr">
        <is>
          <t>Under-represented</t>
        </is>
      </c>
      <c r="M41" s="15">
        <f>IFERROR((F41-E41)/E41*100,0)</f>
        <v/>
      </c>
      <c r="N41" s="14">
        <f>F41-I41</f>
        <v/>
      </c>
      <c r="O41" s="14" t="n"/>
    </row>
    <row r="42">
      <c r="A42" t="inlineStr">
        <is>
          <t>CON-041</t>
        </is>
      </c>
      <c r="B42" t="inlineStr">
        <is>
          <t>Karnataka</t>
        </is>
      </c>
      <c r="C42" t="inlineStr">
        <is>
          <t>Karnataka_Dist_41</t>
        </is>
      </c>
      <c r="D42" t="inlineStr">
        <is>
          <t>General</t>
        </is>
      </c>
      <c r="E42" s="14" t="n">
        <v>2995</v>
      </c>
      <c r="F42" s="14" t="n">
        <v>5199</v>
      </c>
      <c r="G42" s="15" t="n">
        <v>74.31</v>
      </c>
      <c r="H42" t="n">
        <v>1</v>
      </c>
      <c r="I42" s="14" t="n">
        <v>2200</v>
      </c>
      <c r="J42" s="15" t="n">
        <v>2.36</v>
      </c>
      <c r="K42" s="15" t="n">
        <v>136</v>
      </c>
      <c r="L42" s="15" t="inlineStr">
        <is>
          <t>Under-represented</t>
        </is>
      </c>
      <c r="M42" s="15">
        <f>IFERROR((F42-E42)/E42*100,0)</f>
        <v/>
      </c>
      <c r="N42" s="14">
        <f>F42-I42</f>
        <v/>
      </c>
      <c r="O42" s="14" t="n"/>
    </row>
    <row r="43">
      <c r="A43" t="inlineStr">
        <is>
          <t>CON-042</t>
        </is>
      </c>
      <c r="B43" t="inlineStr">
        <is>
          <t>Maharashtra</t>
        </is>
      </c>
      <c r="C43" t="inlineStr">
        <is>
          <t>Maharashtra_Dist_42</t>
        </is>
      </c>
      <c r="D43" t="inlineStr">
        <is>
          <t>General</t>
        </is>
      </c>
      <c r="E43" s="14" t="n">
        <v>1438</v>
      </c>
      <c r="F43" s="14" t="n">
        <v>2144</v>
      </c>
      <c r="G43" s="15" t="n">
        <v>67.04000000000001</v>
      </c>
      <c r="H43" t="n">
        <v>1</v>
      </c>
      <c r="I43" s="14" t="n">
        <v>2200</v>
      </c>
      <c r="J43" s="15" t="n">
        <v>0.97</v>
      </c>
      <c r="K43" s="15" t="n">
        <v>3</v>
      </c>
      <c r="L43" s="15" t="inlineStr">
        <is>
          <t>Balanced</t>
        </is>
      </c>
      <c r="M43" s="15">
        <f>IFERROR((F43-E43)/E43*100,0)</f>
        <v/>
      </c>
      <c r="N43" s="14">
        <f>F43-I43</f>
        <v/>
      </c>
      <c r="O43" s="14" t="n"/>
    </row>
    <row r="44">
      <c r="A44" t="inlineStr">
        <is>
          <t>CON-043</t>
        </is>
      </c>
      <c r="B44" t="inlineStr">
        <is>
          <t>Andhra Pradesh</t>
        </is>
      </c>
      <c r="C44" t="inlineStr">
        <is>
          <t>Andhra_Dist_43</t>
        </is>
      </c>
      <c r="D44" t="inlineStr">
        <is>
          <t>General</t>
        </is>
      </c>
      <c r="E44" s="14" t="n">
        <v>3295</v>
      </c>
      <c r="F44" s="14" t="n">
        <v>5158</v>
      </c>
      <c r="G44" s="15" t="n">
        <v>52.58</v>
      </c>
      <c r="H44" t="n">
        <v>1</v>
      </c>
      <c r="I44" s="14" t="n">
        <v>2200</v>
      </c>
      <c r="J44" s="15" t="n">
        <v>2.34</v>
      </c>
      <c r="K44" s="15" t="n">
        <v>134</v>
      </c>
      <c r="L44" s="15" t="inlineStr">
        <is>
          <t>Under-represented</t>
        </is>
      </c>
      <c r="M44" s="15">
        <f>IFERROR((F44-E44)/E44*100,0)</f>
        <v/>
      </c>
      <c r="N44" s="14">
        <f>F44-I44</f>
        <v/>
      </c>
      <c r="O44" s="14" t="n"/>
    </row>
    <row r="45">
      <c r="A45" t="inlineStr">
        <is>
          <t>CON-044</t>
        </is>
      </c>
      <c r="B45" t="inlineStr">
        <is>
          <t>West Bengal</t>
        </is>
      </c>
      <c r="C45" t="inlineStr">
        <is>
          <t>West_Dist_44</t>
        </is>
      </c>
      <c r="D45" t="inlineStr">
        <is>
          <t>General</t>
        </is>
      </c>
      <c r="E45" s="14" t="n">
        <v>3628</v>
      </c>
      <c r="F45" s="14" t="n">
        <v>4599</v>
      </c>
      <c r="G45" s="15" t="n">
        <v>53.95</v>
      </c>
      <c r="H45" t="n">
        <v>1</v>
      </c>
      <c r="I45" s="14" t="n">
        <v>2200</v>
      </c>
      <c r="J45" s="15" t="n">
        <v>2.09</v>
      </c>
      <c r="K45" s="15" t="n">
        <v>109</v>
      </c>
      <c r="L45" s="15" t="inlineStr">
        <is>
          <t>Under-represented</t>
        </is>
      </c>
      <c r="M45" s="15">
        <f>IFERROR((F45-E45)/E45*100,0)</f>
        <v/>
      </c>
      <c r="N45" s="14">
        <f>F45-I45</f>
        <v/>
      </c>
      <c r="O45" s="14" t="n"/>
    </row>
    <row r="46">
      <c r="A46" t="inlineStr">
        <is>
          <t>CON-045</t>
        </is>
      </c>
      <c r="B46" t="inlineStr">
        <is>
          <t>West Bengal</t>
        </is>
      </c>
      <c r="C46" t="inlineStr">
        <is>
          <t>West_Dist_45</t>
        </is>
      </c>
      <c r="D46" t="inlineStr">
        <is>
          <t>General</t>
        </is>
      </c>
      <c r="E46" s="14" t="n">
        <v>3360</v>
      </c>
      <c r="F46" s="14" t="n">
        <v>5463</v>
      </c>
      <c r="G46" s="15" t="n">
        <v>68.93000000000001</v>
      </c>
      <c r="H46" t="n">
        <v>1</v>
      </c>
      <c r="I46" s="14" t="n">
        <v>2200</v>
      </c>
      <c r="J46" s="15" t="n">
        <v>2.48</v>
      </c>
      <c r="K46" s="15" t="n">
        <v>148</v>
      </c>
      <c r="L46" s="15" t="inlineStr">
        <is>
          <t>Under-represented</t>
        </is>
      </c>
      <c r="M46" s="15">
        <f>IFERROR((F46-E46)/E46*100,0)</f>
        <v/>
      </c>
      <c r="N46" s="14">
        <f>F46-I46</f>
        <v/>
      </c>
      <c r="O46" s="14" t="n"/>
    </row>
    <row r="47">
      <c r="A47" t="inlineStr">
        <is>
          <t>CON-046</t>
        </is>
      </c>
      <c r="B47" t="inlineStr">
        <is>
          <t>Tamil Nadu</t>
        </is>
      </c>
      <c r="C47" t="inlineStr">
        <is>
          <t>Tamil_Dist_46</t>
        </is>
      </c>
      <c r="D47" t="inlineStr">
        <is>
          <t>General</t>
        </is>
      </c>
      <c r="E47" s="14" t="n">
        <v>1369</v>
      </c>
      <c r="F47" s="14" t="n">
        <v>2203</v>
      </c>
      <c r="G47" s="15" t="n">
        <v>66.65000000000001</v>
      </c>
      <c r="H47" t="n">
        <v>1</v>
      </c>
      <c r="I47" s="14" t="n">
        <v>2200</v>
      </c>
      <c r="J47" s="15" t="n">
        <v>1</v>
      </c>
      <c r="K47" s="15" t="n">
        <v>0</v>
      </c>
      <c r="L47" s="15" t="inlineStr">
        <is>
          <t>Balanced</t>
        </is>
      </c>
      <c r="M47" s="15">
        <f>IFERROR((F47-E47)/E47*100,0)</f>
        <v/>
      </c>
      <c r="N47" s="14">
        <f>F47-I47</f>
        <v/>
      </c>
      <c r="O47" s="14" t="n"/>
    </row>
    <row r="48">
      <c r="A48" t="inlineStr">
        <is>
          <t>CON-047</t>
        </is>
      </c>
      <c r="B48" t="inlineStr">
        <is>
          <t>Telangana</t>
        </is>
      </c>
      <c r="C48" t="inlineStr">
        <is>
          <t>Telangana_Dist_47</t>
        </is>
      </c>
      <c r="D48" t="inlineStr">
        <is>
          <t>General</t>
        </is>
      </c>
      <c r="E48" s="14" t="n">
        <v>1497</v>
      </c>
      <c r="F48" s="14" t="n">
        <v>2393</v>
      </c>
      <c r="G48" s="15" t="n">
        <v>63.23</v>
      </c>
      <c r="H48" t="n">
        <v>1</v>
      </c>
      <c r="I48" s="14" t="n">
        <v>2200</v>
      </c>
      <c r="J48" s="15" t="n">
        <v>1.09</v>
      </c>
      <c r="K48" s="15" t="n">
        <v>9</v>
      </c>
      <c r="L48" s="15" t="inlineStr">
        <is>
          <t>Balanced</t>
        </is>
      </c>
      <c r="M48" s="15">
        <f>IFERROR((F48-E48)/E48*100,0)</f>
        <v/>
      </c>
      <c r="N48" s="14">
        <f>F48-I48</f>
        <v/>
      </c>
      <c r="O48" s="14" t="n"/>
    </row>
    <row r="49">
      <c r="A49" t="inlineStr">
        <is>
          <t>CON-048</t>
        </is>
      </c>
      <c r="B49" t="inlineStr">
        <is>
          <t>Telangana</t>
        </is>
      </c>
      <c r="C49" t="inlineStr">
        <is>
          <t>Telangana_Dist_48</t>
        </is>
      </c>
      <c r="D49" t="inlineStr">
        <is>
          <t>SC</t>
        </is>
      </c>
      <c r="E49" s="14" t="n">
        <v>1587</v>
      </c>
      <c r="F49" s="14" t="n">
        <v>2083</v>
      </c>
      <c r="G49" s="15" t="n">
        <v>76.67</v>
      </c>
      <c r="H49" t="n">
        <v>1</v>
      </c>
      <c r="I49" s="14" t="n">
        <v>2200</v>
      </c>
      <c r="J49" s="15" t="n">
        <v>0.95</v>
      </c>
      <c r="K49" s="15" t="n">
        <v>5</v>
      </c>
      <c r="L49" s="15" t="inlineStr">
        <is>
          <t>Balanced</t>
        </is>
      </c>
      <c r="M49" s="15">
        <f>IFERROR((F49-E49)/E49*100,0)</f>
        <v/>
      </c>
      <c r="N49" s="14">
        <f>F49-I49</f>
        <v/>
      </c>
      <c r="O49" s="14" t="n"/>
    </row>
    <row r="50">
      <c r="A50" t="inlineStr">
        <is>
          <t>CON-049</t>
        </is>
      </c>
      <c r="B50" t="inlineStr">
        <is>
          <t>Telangana</t>
        </is>
      </c>
      <c r="C50" t="inlineStr">
        <is>
          <t>Telangana_Dist_49</t>
        </is>
      </c>
      <c r="D50" t="inlineStr">
        <is>
          <t>General</t>
        </is>
      </c>
      <c r="E50" s="14" t="n">
        <v>3438</v>
      </c>
      <c r="F50" s="14" t="n">
        <v>5968</v>
      </c>
      <c r="G50" s="15" t="n">
        <v>75.06999999999999</v>
      </c>
      <c r="H50" t="n">
        <v>1</v>
      </c>
      <c r="I50" s="14" t="n">
        <v>2200</v>
      </c>
      <c r="J50" s="15" t="n">
        <v>2.71</v>
      </c>
      <c r="K50" s="15" t="n">
        <v>171</v>
      </c>
      <c r="L50" s="15" t="inlineStr">
        <is>
          <t>Under-represented</t>
        </is>
      </c>
      <c r="M50" s="15">
        <f>IFERROR((F50-E50)/E50*100,0)</f>
        <v/>
      </c>
      <c r="N50" s="14">
        <f>F50-I50</f>
        <v/>
      </c>
      <c r="O50" s="14" t="n"/>
    </row>
    <row r="51">
      <c r="A51" t="inlineStr">
        <is>
          <t>CON-050</t>
        </is>
      </c>
      <c r="B51" t="inlineStr">
        <is>
          <t>Karnataka</t>
        </is>
      </c>
      <c r="C51" t="inlineStr">
        <is>
          <t>Karnataka_Dist_50</t>
        </is>
      </c>
      <c r="D51" t="inlineStr">
        <is>
          <t>General</t>
        </is>
      </c>
      <c r="E51" s="14" t="n">
        <v>2667</v>
      </c>
      <c r="F51" s="14" t="n">
        <v>3493</v>
      </c>
      <c r="G51" s="15" t="n">
        <v>74.43000000000001</v>
      </c>
      <c r="H51" t="n">
        <v>1</v>
      </c>
      <c r="I51" s="14" t="n">
        <v>2200</v>
      </c>
      <c r="J51" s="15" t="n">
        <v>1.59</v>
      </c>
      <c r="K51" s="15" t="n">
        <v>59</v>
      </c>
      <c r="L51" s="15" t="inlineStr">
        <is>
          <t>Under-represented</t>
        </is>
      </c>
      <c r="M51" s="15">
        <f>IFERROR((F51-E51)/E51*100,0)</f>
        <v/>
      </c>
      <c r="N51" s="14">
        <f>F51-I51</f>
        <v/>
      </c>
      <c r="O51" s="14" t="n"/>
    </row>
    <row r="52">
      <c r="A52" t="inlineStr">
        <is>
          <t>CON-051</t>
        </is>
      </c>
      <c r="B52" t="inlineStr">
        <is>
          <t>Maharashtra</t>
        </is>
      </c>
      <c r="C52" t="inlineStr">
        <is>
          <t>Maharashtra_Dist_51</t>
        </is>
      </c>
      <c r="D52" t="inlineStr">
        <is>
          <t>General</t>
        </is>
      </c>
      <c r="E52" s="14" t="n">
        <v>3262</v>
      </c>
      <c r="F52" s="14" t="n">
        <v>4878</v>
      </c>
      <c r="G52" s="15" t="n">
        <v>77.78</v>
      </c>
      <c r="H52" t="n">
        <v>1</v>
      </c>
      <c r="I52" s="14" t="n">
        <v>2200</v>
      </c>
      <c r="J52" s="15" t="n">
        <v>2.22</v>
      </c>
      <c r="K52" s="15" t="n">
        <v>122</v>
      </c>
      <c r="L52" s="15" t="inlineStr">
        <is>
          <t>Under-represented</t>
        </is>
      </c>
      <c r="M52" s="15">
        <f>IFERROR((F52-E52)/E52*100,0)</f>
        <v/>
      </c>
      <c r="N52" s="14">
        <f>F52-I52</f>
        <v/>
      </c>
      <c r="O52" s="14" t="n"/>
    </row>
    <row r="53">
      <c r="A53" t="inlineStr">
        <is>
          <t>CON-052</t>
        </is>
      </c>
      <c r="B53" t="inlineStr">
        <is>
          <t>Gujarat</t>
        </is>
      </c>
      <c r="C53" t="inlineStr">
        <is>
          <t>Gujarat_Dist_52</t>
        </is>
      </c>
      <c r="D53" t="inlineStr">
        <is>
          <t>General</t>
        </is>
      </c>
      <c r="E53" s="14" t="n">
        <v>1872</v>
      </c>
      <c r="F53" s="14" t="n">
        <v>2525</v>
      </c>
      <c r="G53" s="15" t="n">
        <v>53.18</v>
      </c>
      <c r="H53" t="n">
        <v>1</v>
      </c>
      <c r="I53" s="14" t="n">
        <v>2200</v>
      </c>
      <c r="J53" s="15" t="n">
        <v>1.15</v>
      </c>
      <c r="K53" s="15" t="n">
        <v>15</v>
      </c>
      <c r="L53" s="15" t="inlineStr">
        <is>
          <t>Balanced</t>
        </is>
      </c>
      <c r="M53" s="15">
        <f>IFERROR((F53-E53)/E53*100,0)</f>
        <v/>
      </c>
      <c r="N53" s="14">
        <f>F53-I53</f>
        <v/>
      </c>
      <c r="O53" s="14" t="n"/>
    </row>
    <row r="54">
      <c r="A54" t="inlineStr">
        <is>
          <t>CON-053</t>
        </is>
      </c>
      <c r="B54" t="inlineStr">
        <is>
          <t>Kerala</t>
        </is>
      </c>
      <c r="C54" t="inlineStr">
        <is>
          <t>Kerala_Dist_53</t>
        </is>
      </c>
      <c r="D54" t="inlineStr">
        <is>
          <t>General</t>
        </is>
      </c>
      <c r="E54" s="14" t="n">
        <v>2237</v>
      </c>
      <c r="F54" s="14" t="n">
        <v>2830</v>
      </c>
      <c r="G54" s="15" t="n">
        <v>71.23999999999999</v>
      </c>
      <c r="H54" t="n">
        <v>1</v>
      </c>
      <c r="I54" s="14" t="n">
        <v>2200</v>
      </c>
      <c r="J54" s="15" t="n">
        <v>1.29</v>
      </c>
      <c r="K54" s="15" t="n">
        <v>29</v>
      </c>
      <c r="L54" s="15" t="inlineStr">
        <is>
          <t>Under-represented</t>
        </is>
      </c>
      <c r="M54" s="15">
        <f>IFERROR((F54-E54)/E54*100,0)</f>
        <v/>
      </c>
      <c r="N54" s="14">
        <f>F54-I54</f>
        <v/>
      </c>
      <c r="O54" s="14" t="n"/>
    </row>
    <row r="55">
      <c r="A55" t="inlineStr">
        <is>
          <t>CON-054</t>
        </is>
      </c>
      <c r="B55" t="inlineStr">
        <is>
          <t>Tamil Nadu</t>
        </is>
      </c>
      <c r="C55" t="inlineStr">
        <is>
          <t>Tamil_Dist_54</t>
        </is>
      </c>
      <c r="D55" t="inlineStr">
        <is>
          <t>General</t>
        </is>
      </c>
      <c r="E55" s="14" t="n">
        <v>3228</v>
      </c>
      <c r="F55" s="14" t="n">
        <v>4268</v>
      </c>
      <c r="G55" s="15" t="n">
        <v>75.79000000000001</v>
      </c>
      <c r="H55" t="n">
        <v>1</v>
      </c>
      <c r="I55" s="14" t="n">
        <v>2200</v>
      </c>
      <c r="J55" s="15" t="n">
        <v>1.94</v>
      </c>
      <c r="K55" s="15" t="n">
        <v>94</v>
      </c>
      <c r="L55" s="15" t="inlineStr">
        <is>
          <t>Under-represented</t>
        </is>
      </c>
      <c r="M55" s="15">
        <f>IFERROR((F55-E55)/E55*100,0)</f>
        <v/>
      </c>
      <c r="N55" s="14">
        <f>F55-I55</f>
        <v/>
      </c>
      <c r="O55" s="14" t="n"/>
    </row>
    <row r="56">
      <c r="A56" t="inlineStr">
        <is>
          <t>CON-055</t>
        </is>
      </c>
      <c r="B56" t="inlineStr">
        <is>
          <t>Bihar</t>
        </is>
      </c>
      <c r="C56" t="inlineStr">
        <is>
          <t>Bihar_Dist_55</t>
        </is>
      </c>
      <c r="D56" t="inlineStr">
        <is>
          <t>SC</t>
        </is>
      </c>
      <c r="E56" s="14" t="n">
        <v>3652</v>
      </c>
      <c r="F56" s="14" t="n">
        <v>5827</v>
      </c>
      <c r="G56" s="15" t="n">
        <v>80.08</v>
      </c>
      <c r="H56" t="n">
        <v>1</v>
      </c>
      <c r="I56" s="14" t="n">
        <v>2200</v>
      </c>
      <c r="J56" s="15" t="n">
        <v>2.65</v>
      </c>
      <c r="K56" s="15" t="n">
        <v>165</v>
      </c>
      <c r="L56" s="15" t="inlineStr">
        <is>
          <t>Under-represented</t>
        </is>
      </c>
      <c r="M56" s="15">
        <f>IFERROR((F56-E56)/E56*100,0)</f>
        <v/>
      </c>
      <c r="N56" s="14">
        <f>F56-I56</f>
        <v/>
      </c>
      <c r="O56" s="14" t="n"/>
    </row>
    <row r="57">
      <c r="A57" t="inlineStr">
        <is>
          <t>CON-056</t>
        </is>
      </c>
      <c r="B57" t="inlineStr">
        <is>
          <t>Maharashtra</t>
        </is>
      </c>
      <c r="C57" t="inlineStr">
        <is>
          <t>Maharashtra_Dist_56</t>
        </is>
      </c>
      <c r="D57" t="inlineStr">
        <is>
          <t>SC</t>
        </is>
      </c>
      <c r="E57" s="14" t="n">
        <v>3440</v>
      </c>
      <c r="F57" s="14" t="n">
        <v>4793</v>
      </c>
      <c r="G57" s="15" t="n">
        <v>61.94</v>
      </c>
      <c r="H57" t="n">
        <v>1</v>
      </c>
      <c r="I57" s="14" t="n">
        <v>2200</v>
      </c>
      <c r="J57" s="15" t="n">
        <v>2.18</v>
      </c>
      <c r="K57" s="15" t="n">
        <v>118</v>
      </c>
      <c r="L57" s="15" t="inlineStr">
        <is>
          <t>Under-represented</t>
        </is>
      </c>
      <c r="M57" s="15">
        <f>IFERROR((F57-E57)/E57*100,0)</f>
        <v/>
      </c>
      <c r="N57" s="14">
        <f>F57-I57</f>
        <v/>
      </c>
      <c r="O57" s="14" t="n"/>
    </row>
    <row r="58">
      <c r="A58" t="inlineStr">
        <is>
          <t>CON-057</t>
        </is>
      </c>
      <c r="B58" t="inlineStr">
        <is>
          <t>Maharashtra</t>
        </is>
      </c>
      <c r="C58" t="inlineStr">
        <is>
          <t>Maharashtra_Dist_57</t>
        </is>
      </c>
      <c r="D58" t="inlineStr">
        <is>
          <t>General</t>
        </is>
      </c>
      <c r="E58" s="14" t="n">
        <v>3240</v>
      </c>
      <c r="F58" s="14" t="n">
        <v>5602</v>
      </c>
      <c r="G58" s="15" t="n">
        <v>75.08</v>
      </c>
      <c r="H58" t="n">
        <v>1</v>
      </c>
      <c r="I58" s="14" t="n">
        <v>2200</v>
      </c>
      <c r="J58" s="15" t="n">
        <v>2.55</v>
      </c>
      <c r="K58" s="15" t="n">
        <v>155</v>
      </c>
      <c r="L58" s="15" t="inlineStr">
        <is>
          <t>Under-represented</t>
        </is>
      </c>
      <c r="M58" s="15">
        <f>IFERROR((F58-E58)/E58*100,0)</f>
        <v/>
      </c>
      <c r="N58" s="14">
        <f>F58-I58</f>
        <v/>
      </c>
      <c r="O58" s="14" t="n"/>
    </row>
    <row r="59">
      <c r="A59" t="inlineStr">
        <is>
          <t>CON-058</t>
        </is>
      </c>
      <c r="B59" t="inlineStr">
        <is>
          <t>West Bengal</t>
        </is>
      </c>
      <c r="C59" t="inlineStr">
        <is>
          <t>West_Dist_58</t>
        </is>
      </c>
      <c r="D59" t="inlineStr">
        <is>
          <t>General</t>
        </is>
      </c>
      <c r="E59" s="14" t="n">
        <v>1875</v>
      </c>
      <c r="F59" s="14" t="n">
        <v>2739</v>
      </c>
      <c r="G59" s="15" t="n">
        <v>74.95999999999999</v>
      </c>
      <c r="H59" t="n">
        <v>1</v>
      </c>
      <c r="I59" s="14" t="n">
        <v>2200</v>
      </c>
      <c r="J59" s="15" t="n">
        <v>1.25</v>
      </c>
      <c r="K59" s="15" t="n">
        <v>25</v>
      </c>
      <c r="L59" s="15" t="inlineStr">
        <is>
          <t>Balanced</t>
        </is>
      </c>
      <c r="M59" s="15">
        <f>IFERROR((F59-E59)/E59*100,0)</f>
        <v/>
      </c>
      <c r="N59" s="14">
        <f>F59-I59</f>
        <v/>
      </c>
      <c r="O59" s="14" t="n"/>
    </row>
    <row r="60">
      <c r="A60" t="inlineStr">
        <is>
          <t>CON-059</t>
        </is>
      </c>
      <c r="B60" t="inlineStr">
        <is>
          <t>West Bengal</t>
        </is>
      </c>
      <c r="C60" t="inlineStr">
        <is>
          <t>West_Dist_59</t>
        </is>
      </c>
      <c r="D60" t="inlineStr">
        <is>
          <t>General</t>
        </is>
      </c>
      <c r="E60" s="14" t="n">
        <v>3147</v>
      </c>
      <c r="F60" s="14" t="n">
        <v>4039</v>
      </c>
      <c r="G60" s="15" t="n">
        <v>56.3</v>
      </c>
      <c r="H60" t="n">
        <v>1</v>
      </c>
      <c r="I60" s="14" t="n">
        <v>2200</v>
      </c>
      <c r="J60" s="15" t="n">
        <v>1.84</v>
      </c>
      <c r="K60" s="15" t="n">
        <v>84</v>
      </c>
      <c r="L60" s="15" t="inlineStr">
        <is>
          <t>Under-represented</t>
        </is>
      </c>
      <c r="M60" s="15">
        <f>IFERROR((F60-E60)/E60*100,0)</f>
        <v/>
      </c>
      <c r="N60" s="14">
        <f>F60-I60</f>
        <v/>
      </c>
      <c r="O60" s="14" t="n"/>
    </row>
    <row r="61">
      <c r="A61" t="inlineStr">
        <is>
          <t>CON-060</t>
        </is>
      </c>
      <c r="B61" t="inlineStr">
        <is>
          <t>Andhra Pradesh</t>
        </is>
      </c>
      <c r="C61" t="inlineStr">
        <is>
          <t>Andhra_Dist_60</t>
        </is>
      </c>
      <c r="D61" t="inlineStr">
        <is>
          <t>General</t>
        </is>
      </c>
      <c r="E61" s="14" t="n">
        <v>3448</v>
      </c>
      <c r="F61" s="14" t="n">
        <v>5253</v>
      </c>
      <c r="G61" s="15" t="n">
        <v>52.44</v>
      </c>
      <c r="H61" t="n">
        <v>1</v>
      </c>
      <c r="I61" s="14" t="n">
        <v>2200</v>
      </c>
      <c r="J61" s="15" t="n">
        <v>2.39</v>
      </c>
      <c r="K61" s="15" t="n">
        <v>139</v>
      </c>
      <c r="L61" s="15" t="inlineStr">
        <is>
          <t>Under-represented</t>
        </is>
      </c>
      <c r="M61" s="15">
        <f>IFERROR((F61-E61)/E61*100,0)</f>
        <v/>
      </c>
      <c r="N61" s="14">
        <f>F61-I61</f>
        <v/>
      </c>
      <c r="O61" s="14" t="n"/>
    </row>
    <row r="62">
      <c r="A62" t="inlineStr">
        <is>
          <t>CON-061</t>
        </is>
      </c>
      <c r="B62" t="inlineStr">
        <is>
          <t>West Bengal</t>
        </is>
      </c>
      <c r="C62" t="inlineStr">
        <is>
          <t>West_Dist_61</t>
        </is>
      </c>
      <c r="D62" t="inlineStr">
        <is>
          <t>General</t>
        </is>
      </c>
      <c r="E62" s="14" t="n">
        <v>3097</v>
      </c>
      <c r="F62" s="14" t="n">
        <v>4008</v>
      </c>
      <c r="G62" s="15" t="n">
        <v>63.84</v>
      </c>
      <c r="H62" t="n">
        <v>1</v>
      </c>
      <c r="I62" s="14" t="n">
        <v>2200</v>
      </c>
      <c r="J62" s="15" t="n">
        <v>1.82</v>
      </c>
      <c r="K62" s="15" t="n">
        <v>82</v>
      </c>
      <c r="L62" s="15" t="inlineStr">
        <is>
          <t>Under-represented</t>
        </is>
      </c>
      <c r="M62" s="15">
        <f>IFERROR((F62-E62)/E62*100,0)</f>
        <v/>
      </c>
      <c r="N62" s="14">
        <f>F62-I62</f>
        <v/>
      </c>
      <c r="O62" s="14" t="n"/>
    </row>
    <row r="63">
      <c r="A63" t="inlineStr">
        <is>
          <t>CON-062</t>
        </is>
      </c>
      <c r="B63" t="inlineStr">
        <is>
          <t>Maharashtra</t>
        </is>
      </c>
      <c r="C63" t="inlineStr">
        <is>
          <t>Maharashtra_Dist_62</t>
        </is>
      </c>
      <c r="D63" t="inlineStr">
        <is>
          <t>SC</t>
        </is>
      </c>
      <c r="E63" s="14" t="n">
        <v>2861</v>
      </c>
      <c r="F63" s="14" t="n">
        <v>4933</v>
      </c>
      <c r="G63" s="15" t="n">
        <v>63.72</v>
      </c>
      <c r="H63" t="n">
        <v>1</v>
      </c>
      <c r="I63" s="14" t="n">
        <v>2200</v>
      </c>
      <c r="J63" s="15" t="n">
        <v>2.24</v>
      </c>
      <c r="K63" s="15" t="n">
        <v>124</v>
      </c>
      <c r="L63" s="15" t="inlineStr">
        <is>
          <t>Under-represented</t>
        </is>
      </c>
      <c r="M63" s="15">
        <f>IFERROR((F63-E63)/E63*100,0)</f>
        <v/>
      </c>
      <c r="N63" s="14">
        <f>F63-I63</f>
        <v/>
      </c>
      <c r="O63" s="14" t="n"/>
    </row>
    <row r="64">
      <c r="A64" t="inlineStr">
        <is>
          <t>CON-063</t>
        </is>
      </c>
      <c r="B64" t="inlineStr">
        <is>
          <t>Karnataka</t>
        </is>
      </c>
      <c r="C64" t="inlineStr">
        <is>
          <t>Karnataka_Dist_63</t>
        </is>
      </c>
      <c r="D64" t="inlineStr">
        <is>
          <t>SC</t>
        </is>
      </c>
      <c r="E64" s="14" t="n">
        <v>3635</v>
      </c>
      <c r="F64" s="14" t="n">
        <v>6074</v>
      </c>
      <c r="G64" s="15" t="n">
        <v>64.14</v>
      </c>
      <c r="H64" t="n">
        <v>1</v>
      </c>
      <c r="I64" s="14" t="n">
        <v>2200</v>
      </c>
      <c r="J64" s="15" t="n">
        <v>2.76</v>
      </c>
      <c r="K64" s="15" t="n">
        <v>176</v>
      </c>
      <c r="L64" s="15" t="inlineStr">
        <is>
          <t>Under-represented</t>
        </is>
      </c>
      <c r="M64" s="15">
        <f>IFERROR((F64-E64)/E64*100,0)</f>
        <v/>
      </c>
      <c r="N64" s="14">
        <f>F64-I64</f>
        <v/>
      </c>
      <c r="O64" s="14" t="n"/>
    </row>
    <row r="65">
      <c r="A65" t="inlineStr">
        <is>
          <t>CON-064</t>
        </is>
      </c>
      <c r="B65" t="inlineStr">
        <is>
          <t>Kerala</t>
        </is>
      </c>
      <c r="C65" t="inlineStr">
        <is>
          <t>Kerala_Dist_64</t>
        </is>
      </c>
      <c r="D65" t="inlineStr">
        <is>
          <t>General</t>
        </is>
      </c>
      <c r="E65" s="14" t="n">
        <v>1549</v>
      </c>
      <c r="F65" s="14" t="n">
        <v>2381</v>
      </c>
      <c r="G65" s="15" t="n">
        <v>72.06</v>
      </c>
      <c r="H65" t="n">
        <v>1</v>
      </c>
      <c r="I65" s="14" t="n">
        <v>2200</v>
      </c>
      <c r="J65" s="15" t="n">
        <v>1.08</v>
      </c>
      <c r="K65" s="15" t="n">
        <v>8</v>
      </c>
      <c r="L65" s="15" t="inlineStr">
        <is>
          <t>Balanced</t>
        </is>
      </c>
      <c r="M65" s="15">
        <f>IFERROR((F65-E65)/E65*100,0)</f>
        <v/>
      </c>
      <c r="N65" s="14">
        <f>F65-I65</f>
        <v/>
      </c>
      <c r="O65" s="14" t="n"/>
    </row>
    <row r="66">
      <c r="A66" t="inlineStr">
        <is>
          <t>CON-065</t>
        </is>
      </c>
      <c r="B66" t="inlineStr">
        <is>
          <t>West Bengal</t>
        </is>
      </c>
      <c r="C66" t="inlineStr">
        <is>
          <t>West_Dist_65</t>
        </is>
      </c>
      <c r="D66" t="inlineStr">
        <is>
          <t>General</t>
        </is>
      </c>
      <c r="E66" s="14" t="n">
        <v>2861</v>
      </c>
      <c r="F66" s="14" t="n">
        <v>4586</v>
      </c>
      <c r="G66" s="15" t="n">
        <v>57.32</v>
      </c>
      <c r="H66" t="n">
        <v>1</v>
      </c>
      <c r="I66" s="14" t="n">
        <v>2200</v>
      </c>
      <c r="J66" s="15" t="n">
        <v>2.08</v>
      </c>
      <c r="K66" s="15" t="n">
        <v>108</v>
      </c>
      <c r="L66" s="15" t="inlineStr">
        <is>
          <t>Under-represented</t>
        </is>
      </c>
      <c r="M66" s="15">
        <f>IFERROR((F66-E66)/E66*100,0)</f>
        <v/>
      </c>
      <c r="N66" s="14">
        <f>F66-I66</f>
        <v/>
      </c>
      <c r="O66" s="14" t="n"/>
    </row>
    <row r="67">
      <c r="A67" t="inlineStr">
        <is>
          <t>CON-066</t>
        </is>
      </c>
      <c r="B67" t="inlineStr">
        <is>
          <t>West Bengal</t>
        </is>
      </c>
      <c r="C67" t="inlineStr">
        <is>
          <t>West_Dist_66</t>
        </is>
      </c>
      <c r="D67" t="inlineStr">
        <is>
          <t>General</t>
        </is>
      </c>
      <c r="E67" s="14" t="n">
        <v>1483</v>
      </c>
      <c r="F67" s="14" t="n">
        <v>2555</v>
      </c>
      <c r="G67" s="15" t="n">
        <v>55.96</v>
      </c>
      <c r="H67" t="n">
        <v>1</v>
      </c>
      <c r="I67" s="14" t="n">
        <v>2200</v>
      </c>
      <c r="J67" s="15" t="n">
        <v>1.16</v>
      </c>
      <c r="K67" s="15" t="n">
        <v>16</v>
      </c>
      <c r="L67" s="15" t="inlineStr">
        <is>
          <t>Balanced</t>
        </is>
      </c>
      <c r="M67" s="15">
        <f>IFERROR((F67-E67)/E67*100,0)</f>
        <v/>
      </c>
      <c r="N67" s="14">
        <f>F67-I67</f>
        <v/>
      </c>
      <c r="O67" s="14" t="n"/>
    </row>
    <row r="68">
      <c r="A68" t="inlineStr">
        <is>
          <t>CON-067</t>
        </is>
      </c>
      <c r="B68" t="inlineStr">
        <is>
          <t>Karnataka</t>
        </is>
      </c>
      <c r="C68" t="inlineStr">
        <is>
          <t>Karnataka_Dist_67</t>
        </is>
      </c>
      <c r="D68" t="inlineStr">
        <is>
          <t>General</t>
        </is>
      </c>
      <c r="E68" s="14" t="n">
        <v>3560</v>
      </c>
      <c r="F68" s="14" t="n">
        <v>5006</v>
      </c>
      <c r="G68" s="15" t="n">
        <v>61.13</v>
      </c>
      <c r="H68" t="n">
        <v>1</v>
      </c>
      <c r="I68" s="14" t="n">
        <v>2200</v>
      </c>
      <c r="J68" s="15" t="n">
        <v>2.28</v>
      </c>
      <c r="K68" s="15" t="n">
        <v>128</v>
      </c>
      <c r="L68" s="15" t="inlineStr">
        <is>
          <t>Under-represented</t>
        </is>
      </c>
      <c r="M68" s="15">
        <f>IFERROR((F68-E68)/E68*100,0)</f>
        <v/>
      </c>
      <c r="N68" s="14">
        <f>F68-I68</f>
        <v/>
      </c>
      <c r="O68" s="14" t="n"/>
    </row>
    <row r="69">
      <c r="A69" t="inlineStr">
        <is>
          <t>CON-068</t>
        </is>
      </c>
      <c r="B69" t="inlineStr">
        <is>
          <t>Telangana</t>
        </is>
      </c>
      <c r="C69" t="inlineStr">
        <is>
          <t>Telangana_Dist_68</t>
        </is>
      </c>
      <c r="D69" t="inlineStr">
        <is>
          <t>General</t>
        </is>
      </c>
      <c r="E69" s="14" t="n">
        <v>2377</v>
      </c>
      <c r="F69" s="14" t="n">
        <v>4022</v>
      </c>
      <c r="G69" s="15" t="n">
        <v>84.45</v>
      </c>
      <c r="H69" t="n">
        <v>1</v>
      </c>
      <c r="I69" s="14" t="n">
        <v>2200</v>
      </c>
      <c r="J69" s="15" t="n">
        <v>1.83</v>
      </c>
      <c r="K69" s="15" t="n">
        <v>83</v>
      </c>
      <c r="L69" s="15" t="inlineStr">
        <is>
          <t>Under-represented</t>
        </is>
      </c>
      <c r="M69" s="15">
        <f>IFERROR((F69-E69)/E69*100,0)</f>
        <v/>
      </c>
      <c r="N69" s="14">
        <f>F69-I69</f>
        <v/>
      </c>
      <c r="O69" s="14" t="n"/>
    </row>
    <row r="70">
      <c r="A70" t="inlineStr">
        <is>
          <t>CON-069</t>
        </is>
      </c>
      <c r="B70" t="inlineStr">
        <is>
          <t>Kerala</t>
        </is>
      </c>
      <c r="C70" t="inlineStr">
        <is>
          <t>Kerala_Dist_69</t>
        </is>
      </c>
      <c r="D70" t="inlineStr">
        <is>
          <t>General</t>
        </is>
      </c>
      <c r="E70" s="14" t="n">
        <v>3463</v>
      </c>
      <c r="F70" s="14" t="n">
        <v>5751</v>
      </c>
      <c r="G70" s="15" t="n">
        <v>68.97</v>
      </c>
      <c r="H70" t="n">
        <v>1</v>
      </c>
      <c r="I70" s="14" t="n">
        <v>2200</v>
      </c>
      <c r="J70" s="15" t="n">
        <v>2.61</v>
      </c>
      <c r="K70" s="15" t="n">
        <v>161</v>
      </c>
      <c r="L70" s="15" t="inlineStr">
        <is>
          <t>Under-represented</t>
        </is>
      </c>
      <c r="M70" s="15">
        <f>IFERROR((F70-E70)/E70*100,0)</f>
        <v/>
      </c>
      <c r="N70" s="14">
        <f>F70-I70</f>
        <v/>
      </c>
      <c r="O70" s="14" t="n"/>
    </row>
    <row r="71">
      <c r="A71" t="inlineStr">
        <is>
          <t>CON-070</t>
        </is>
      </c>
      <c r="B71" t="inlineStr">
        <is>
          <t>Andhra Pradesh</t>
        </is>
      </c>
      <c r="C71" t="inlineStr">
        <is>
          <t>Andhra_Dist_70</t>
        </is>
      </c>
      <c r="D71" t="inlineStr">
        <is>
          <t>General</t>
        </is>
      </c>
      <c r="E71" s="14" t="n">
        <v>1356</v>
      </c>
      <c r="F71" s="14" t="n">
        <v>2135</v>
      </c>
      <c r="G71" s="15" t="n">
        <v>81.05</v>
      </c>
      <c r="H71" t="n">
        <v>1</v>
      </c>
      <c r="I71" s="14" t="n">
        <v>2200</v>
      </c>
      <c r="J71" s="15" t="n">
        <v>0.97</v>
      </c>
      <c r="K71" s="15" t="n">
        <v>3</v>
      </c>
      <c r="L71" s="15" t="inlineStr">
        <is>
          <t>Balanced</t>
        </is>
      </c>
      <c r="M71" s="15">
        <f>IFERROR((F71-E71)/E71*100,0)</f>
        <v/>
      </c>
      <c r="N71" s="14">
        <f>F71-I71</f>
        <v/>
      </c>
      <c r="O71" s="14" t="n"/>
    </row>
    <row r="72">
      <c r="A72" t="inlineStr">
        <is>
          <t>CON-071</t>
        </is>
      </c>
      <c r="B72" t="inlineStr">
        <is>
          <t>Andhra Pradesh</t>
        </is>
      </c>
      <c r="C72" t="inlineStr">
        <is>
          <t>Andhra_Dist_71</t>
        </is>
      </c>
      <c r="D72" t="inlineStr">
        <is>
          <t>General</t>
        </is>
      </c>
      <c r="E72" s="14" t="n">
        <v>2165</v>
      </c>
      <c r="F72" s="14" t="n">
        <v>2955</v>
      </c>
      <c r="G72" s="15" t="n">
        <v>59.36</v>
      </c>
      <c r="H72" t="n">
        <v>1</v>
      </c>
      <c r="I72" s="14" t="n">
        <v>2200</v>
      </c>
      <c r="J72" s="15" t="n">
        <v>1.34</v>
      </c>
      <c r="K72" s="15" t="n">
        <v>34</v>
      </c>
      <c r="L72" s="15" t="inlineStr">
        <is>
          <t>Under-represented</t>
        </is>
      </c>
      <c r="M72" s="15">
        <f>IFERROR((F72-E72)/E72*100,0)</f>
        <v/>
      </c>
      <c r="N72" s="14">
        <f>F72-I72</f>
        <v/>
      </c>
      <c r="O72" s="14" t="n"/>
    </row>
    <row r="73">
      <c r="A73" t="inlineStr">
        <is>
          <t>CON-072</t>
        </is>
      </c>
      <c r="B73" t="inlineStr">
        <is>
          <t>Telangana</t>
        </is>
      </c>
      <c r="C73" t="inlineStr">
        <is>
          <t>Telangana_Dist_72</t>
        </is>
      </c>
      <c r="D73" t="inlineStr">
        <is>
          <t>General</t>
        </is>
      </c>
      <c r="E73" s="14" t="n">
        <v>1455</v>
      </c>
      <c r="F73" s="14" t="n">
        <v>2182</v>
      </c>
      <c r="G73" s="15" t="n">
        <v>56.12</v>
      </c>
      <c r="H73" t="n">
        <v>1</v>
      </c>
      <c r="I73" s="14" t="n">
        <v>2200</v>
      </c>
      <c r="J73" s="15" t="n">
        <v>0.99</v>
      </c>
      <c r="K73" s="15" t="n">
        <v>1</v>
      </c>
      <c r="L73" s="15" t="inlineStr">
        <is>
          <t>Balanced</t>
        </is>
      </c>
      <c r="M73" s="15">
        <f>IFERROR((F73-E73)/E73*100,0)</f>
        <v/>
      </c>
      <c r="N73" s="14">
        <f>F73-I73</f>
        <v/>
      </c>
      <c r="O73" s="14" t="n"/>
    </row>
    <row r="74">
      <c r="A74" t="inlineStr">
        <is>
          <t>CON-073</t>
        </is>
      </c>
      <c r="B74" t="inlineStr">
        <is>
          <t>Telangana</t>
        </is>
      </c>
      <c r="C74" t="inlineStr">
        <is>
          <t>Telangana_Dist_73</t>
        </is>
      </c>
      <c r="D74" t="inlineStr">
        <is>
          <t>General</t>
        </is>
      </c>
      <c r="E74" s="14" t="n">
        <v>2728</v>
      </c>
      <c r="F74" s="14" t="n">
        <v>3997</v>
      </c>
      <c r="G74" s="15" t="n">
        <v>81.65000000000001</v>
      </c>
      <c r="H74" t="n">
        <v>1</v>
      </c>
      <c r="I74" s="14" t="n">
        <v>2200</v>
      </c>
      <c r="J74" s="15" t="n">
        <v>1.82</v>
      </c>
      <c r="K74" s="15" t="n">
        <v>82</v>
      </c>
      <c r="L74" s="15" t="inlineStr">
        <is>
          <t>Under-represented</t>
        </is>
      </c>
      <c r="M74" s="15">
        <f>IFERROR((F74-E74)/E74*100,0)</f>
        <v/>
      </c>
      <c r="N74" s="14">
        <f>F74-I74</f>
        <v/>
      </c>
      <c r="O74" s="14" t="n"/>
    </row>
    <row r="75">
      <c r="A75" t="inlineStr">
        <is>
          <t>CON-074</t>
        </is>
      </c>
      <c r="B75" t="inlineStr">
        <is>
          <t>Bihar</t>
        </is>
      </c>
      <c r="C75" t="inlineStr">
        <is>
          <t>Bihar_Dist_74</t>
        </is>
      </c>
      <c r="D75" t="inlineStr">
        <is>
          <t>General</t>
        </is>
      </c>
      <c r="E75" s="14" t="n">
        <v>2086</v>
      </c>
      <c r="F75" s="14" t="n">
        <v>3320</v>
      </c>
      <c r="G75" s="15" t="n">
        <v>67.59</v>
      </c>
      <c r="H75" t="n">
        <v>1</v>
      </c>
      <c r="I75" s="14" t="n">
        <v>2200</v>
      </c>
      <c r="J75" s="15" t="n">
        <v>1.51</v>
      </c>
      <c r="K75" s="15" t="n">
        <v>51</v>
      </c>
      <c r="L75" s="15" t="inlineStr">
        <is>
          <t>Under-represented</t>
        </is>
      </c>
      <c r="M75" s="15">
        <f>IFERROR((F75-E75)/E75*100,0)</f>
        <v/>
      </c>
      <c r="N75" s="14">
        <f>F75-I75</f>
        <v/>
      </c>
      <c r="O75" s="14" t="n"/>
    </row>
    <row r="76">
      <c r="A76" t="inlineStr">
        <is>
          <t>CON-075</t>
        </is>
      </c>
      <c r="B76" t="inlineStr">
        <is>
          <t>Gujarat</t>
        </is>
      </c>
      <c r="C76" t="inlineStr">
        <is>
          <t>Gujarat_Dist_75</t>
        </is>
      </c>
      <c r="D76" t="inlineStr">
        <is>
          <t>General</t>
        </is>
      </c>
      <c r="E76" s="14" t="n">
        <v>3645</v>
      </c>
      <c r="F76" s="14" t="n">
        <v>5347</v>
      </c>
      <c r="G76" s="15" t="n">
        <v>67.34</v>
      </c>
      <c r="H76" t="n">
        <v>1</v>
      </c>
      <c r="I76" s="14" t="n">
        <v>2200</v>
      </c>
      <c r="J76" s="15" t="n">
        <v>2.43</v>
      </c>
      <c r="K76" s="15" t="n">
        <v>143</v>
      </c>
      <c r="L76" s="15" t="inlineStr">
        <is>
          <t>Under-represented</t>
        </is>
      </c>
      <c r="M76" s="15">
        <f>IFERROR((F76-E76)/E76*100,0)</f>
        <v/>
      </c>
      <c r="N76" s="14">
        <f>F76-I76</f>
        <v/>
      </c>
      <c r="O76" s="14" t="n"/>
    </row>
    <row r="77">
      <c r="A77" t="inlineStr">
        <is>
          <t>CON-076</t>
        </is>
      </c>
      <c r="B77" t="inlineStr">
        <is>
          <t>Telangana</t>
        </is>
      </c>
      <c r="C77" t="inlineStr">
        <is>
          <t>Telangana_Dist_76</t>
        </is>
      </c>
      <c r="D77" t="inlineStr">
        <is>
          <t>General</t>
        </is>
      </c>
      <c r="E77" s="14" t="n">
        <v>2402</v>
      </c>
      <c r="F77" s="14" t="n">
        <v>3014</v>
      </c>
      <c r="G77" s="15" t="n">
        <v>55.09</v>
      </c>
      <c r="H77" t="n">
        <v>1</v>
      </c>
      <c r="I77" s="14" t="n">
        <v>2200</v>
      </c>
      <c r="J77" s="15" t="n">
        <v>1.37</v>
      </c>
      <c r="K77" s="15" t="n">
        <v>37</v>
      </c>
      <c r="L77" s="15" t="inlineStr">
        <is>
          <t>Under-represented</t>
        </is>
      </c>
      <c r="M77" s="15">
        <f>IFERROR((F77-E77)/E77*100,0)</f>
        <v/>
      </c>
      <c r="N77" s="14">
        <f>F77-I77</f>
        <v/>
      </c>
      <c r="O77" s="14" t="n"/>
    </row>
    <row r="78">
      <c r="A78" t="inlineStr">
        <is>
          <t>CON-077</t>
        </is>
      </c>
      <c r="B78" t="inlineStr">
        <is>
          <t>Maharashtra</t>
        </is>
      </c>
      <c r="C78" t="inlineStr">
        <is>
          <t>Maharashtra_Dist_77</t>
        </is>
      </c>
      <c r="D78" t="inlineStr">
        <is>
          <t>SC</t>
        </is>
      </c>
      <c r="E78" s="14" t="n">
        <v>1750</v>
      </c>
      <c r="F78" s="14" t="n">
        <v>2927</v>
      </c>
      <c r="G78" s="15" t="n">
        <v>62.13</v>
      </c>
      <c r="H78" t="n">
        <v>1</v>
      </c>
      <c r="I78" s="14" t="n">
        <v>2200</v>
      </c>
      <c r="J78" s="15" t="n">
        <v>1.33</v>
      </c>
      <c r="K78" s="15" t="n">
        <v>33</v>
      </c>
      <c r="L78" s="15" t="inlineStr">
        <is>
          <t>Under-represented</t>
        </is>
      </c>
      <c r="M78" s="15">
        <f>IFERROR((F78-E78)/E78*100,0)</f>
        <v/>
      </c>
      <c r="N78" s="14">
        <f>F78-I78</f>
        <v/>
      </c>
      <c r="O78" s="14" t="n"/>
    </row>
    <row r="79">
      <c r="A79" t="inlineStr">
        <is>
          <t>CON-078</t>
        </is>
      </c>
      <c r="B79" t="inlineStr">
        <is>
          <t>Tamil Nadu</t>
        </is>
      </c>
      <c r="C79" t="inlineStr">
        <is>
          <t>Tamil_Dist_78</t>
        </is>
      </c>
      <c r="D79" t="inlineStr">
        <is>
          <t>General</t>
        </is>
      </c>
      <c r="E79" s="14" t="n">
        <v>3634</v>
      </c>
      <c r="F79" s="14" t="n">
        <v>5621</v>
      </c>
      <c r="G79" s="15" t="n">
        <v>81.54000000000001</v>
      </c>
      <c r="H79" t="n">
        <v>1</v>
      </c>
      <c r="I79" s="14" t="n">
        <v>2200</v>
      </c>
      <c r="J79" s="15" t="n">
        <v>2.56</v>
      </c>
      <c r="K79" s="15" t="n">
        <v>156</v>
      </c>
      <c r="L79" s="15" t="inlineStr">
        <is>
          <t>Under-represented</t>
        </is>
      </c>
      <c r="M79" s="15">
        <f>IFERROR((F79-E79)/E79*100,0)</f>
        <v/>
      </c>
      <c r="N79" s="14">
        <f>F79-I79</f>
        <v/>
      </c>
      <c r="O79" s="14" t="n"/>
    </row>
    <row r="80">
      <c r="A80" t="inlineStr">
        <is>
          <t>CON-079</t>
        </is>
      </c>
      <c r="B80" t="inlineStr">
        <is>
          <t>Maharashtra</t>
        </is>
      </c>
      <c r="C80" t="inlineStr">
        <is>
          <t>Maharashtra_Dist_79</t>
        </is>
      </c>
      <c r="D80" t="inlineStr">
        <is>
          <t>General</t>
        </is>
      </c>
      <c r="E80" s="14" t="n">
        <v>3507</v>
      </c>
      <c r="F80" s="14" t="n">
        <v>5061</v>
      </c>
      <c r="G80" s="15" t="n">
        <v>71.3</v>
      </c>
      <c r="H80" t="n">
        <v>1</v>
      </c>
      <c r="I80" s="14" t="n">
        <v>2200</v>
      </c>
      <c r="J80" s="15" t="n">
        <v>2.3</v>
      </c>
      <c r="K80" s="15" t="n">
        <v>130</v>
      </c>
      <c r="L80" s="15" t="inlineStr">
        <is>
          <t>Under-represented</t>
        </is>
      </c>
      <c r="M80" s="15">
        <f>IFERROR((F80-E80)/E80*100,0)</f>
        <v/>
      </c>
      <c r="N80" s="14">
        <f>F80-I80</f>
        <v/>
      </c>
      <c r="O80" s="14" t="n"/>
    </row>
    <row r="81">
      <c r="A81" t="inlineStr">
        <is>
          <t>CON-080</t>
        </is>
      </c>
      <c r="B81" t="inlineStr">
        <is>
          <t>Uttar Pradesh</t>
        </is>
      </c>
      <c r="C81" t="inlineStr">
        <is>
          <t>Uttar_Dist_80</t>
        </is>
      </c>
      <c r="D81" t="inlineStr">
        <is>
          <t>ST</t>
        </is>
      </c>
      <c r="E81" s="14" t="n">
        <v>3530</v>
      </c>
      <c r="F81" s="14" t="n">
        <v>4566</v>
      </c>
      <c r="G81" s="15" t="n">
        <v>79.78</v>
      </c>
      <c r="H81" t="n">
        <v>1</v>
      </c>
      <c r="I81" s="14" t="n">
        <v>2200</v>
      </c>
      <c r="J81" s="15" t="n">
        <v>2.08</v>
      </c>
      <c r="K81" s="15" t="n">
        <v>108</v>
      </c>
      <c r="L81" s="15" t="inlineStr">
        <is>
          <t>Under-represented</t>
        </is>
      </c>
      <c r="M81" s="15">
        <f>IFERROR((F81-E81)/E81*100,0)</f>
        <v/>
      </c>
      <c r="N81" s="14">
        <f>F81-I81</f>
        <v/>
      </c>
      <c r="O81" s="14" t="n"/>
    </row>
    <row r="82">
      <c r="A82" t="inlineStr">
        <is>
          <t>CON-081</t>
        </is>
      </c>
      <c r="B82" t="inlineStr">
        <is>
          <t>Karnataka</t>
        </is>
      </c>
      <c r="C82" t="inlineStr">
        <is>
          <t>Karnataka_Dist_81</t>
        </is>
      </c>
      <c r="D82" t="inlineStr">
        <is>
          <t>General</t>
        </is>
      </c>
      <c r="E82" s="14" t="n">
        <v>1331</v>
      </c>
      <c r="F82" s="14" t="n">
        <v>2242</v>
      </c>
      <c r="G82" s="15" t="n">
        <v>52.99</v>
      </c>
      <c r="H82" t="n">
        <v>1</v>
      </c>
      <c r="I82" s="14" t="n">
        <v>2200</v>
      </c>
      <c r="J82" s="15" t="n">
        <v>1.02</v>
      </c>
      <c r="K82" s="15" t="n">
        <v>2</v>
      </c>
      <c r="L82" s="15" t="inlineStr">
        <is>
          <t>Balanced</t>
        </is>
      </c>
      <c r="M82" s="15">
        <f>IFERROR((F82-E82)/E82*100,0)</f>
        <v/>
      </c>
      <c r="N82" s="14">
        <f>F82-I82</f>
        <v/>
      </c>
      <c r="O82" s="14" t="n"/>
    </row>
    <row r="83">
      <c r="A83" t="inlineStr">
        <is>
          <t>CON-082</t>
        </is>
      </c>
      <c r="B83" t="inlineStr">
        <is>
          <t>Gujarat</t>
        </is>
      </c>
      <c r="C83" t="inlineStr">
        <is>
          <t>Gujarat_Dist_82</t>
        </is>
      </c>
      <c r="D83" t="inlineStr">
        <is>
          <t>SC</t>
        </is>
      </c>
      <c r="E83" s="14" t="n">
        <v>2690</v>
      </c>
      <c r="F83" s="14" t="n">
        <v>3835</v>
      </c>
      <c r="G83" s="15" t="n">
        <v>81.12</v>
      </c>
      <c r="H83" t="n">
        <v>1</v>
      </c>
      <c r="I83" s="14" t="n">
        <v>2200</v>
      </c>
      <c r="J83" s="15" t="n">
        <v>1.74</v>
      </c>
      <c r="K83" s="15" t="n">
        <v>74</v>
      </c>
      <c r="L83" s="15" t="inlineStr">
        <is>
          <t>Under-represented</t>
        </is>
      </c>
      <c r="M83" s="15">
        <f>IFERROR((F83-E83)/E83*100,0)</f>
        <v/>
      </c>
      <c r="N83" s="14">
        <f>F83-I83</f>
        <v/>
      </c>
      <c r="O83" s="14" t="n"/>
    </row>
    <row r="84">
      <c r="A84" t="inlineStr">
        <is>
          <t>CON-083</t>
        </is>
      </c>
      <c r="B84" t="inlineStr">
        <is>
          <t>Karnataka</t>
        </is>
      </c>
      <c r="C84" t="inlineStr">
        <is>
          <t>Karnataka_Dist_83</t>
        </is>
      </c>
      <c r="D84" t="inlineStr">
        <is>
          <t>General</t>
        </is>
      </c>
      <c r="E84" s="14" t="n">
        <v>1927</v>
      </c>
      <c r="F84" s="14" t="n">
        <v>3147</v>
      </c>
      <c r="G84" s="15" t="n">
        <v>75.14</v>
      </c>
      <c r="H84" t="n">
        <v>1</v>
      </c>
      <c r="I84" s="14" t="n">
        <v>2200</v>
      </c>
      <c r="J84" s="15" t="n">
        <v>1.43</v>
      </c>
      <c r="K84" s="15" t="n">
        <v>43</v>
      </c>
      <c r="L84" s="15" t="inlineStr">
        <is>
          <t>Under-represented</t>
        </is>
      </c>
      <c r="M84" s="15">
        <f>IFERROR((F84-E84)/E84*100,0)</f>
        <v/>
      </c>
      <c r="N84" s="14">
        <f>F84-I84</f>
        <v/>
      </c>
      <c r="O84" s="14" t="n"/>
    </row>
    <row r="85">
      <c r="A85" t="inlineStr">
        <is>
          <t>CON-084</t>
        </is>
      </c>
      <c r="B85" t="inlineStr">
        <is>
          <t>Tamil Nadu</t>
        </is>
      </c>
      <c r="C85" t="inlineStr">
        <is>
          <t>Tamil_Dist_84</t>
        </is>
      </c>
      <c r="D85" t="inlineStr">
        <is>
          <t>SC</t>
        </is>
      </c>
      <c r="E85" s="14" t="n">
        <v>2552</v>
      </c>
      <c r="F85" s="14" t="n">
        <v>4077</v>
      </c>
      <c r="G85" s="15" t="n">
        <v>70.36</v>
      </c>
      <c r="H85" t="n">
        <v>1</v>
      </c>
      <c r="I85" s="14" t="n">
        <v>2200</v>
      </c>
      <c r="J85" s="15" t="n">
        <v>1.85</v>
      </c>
      <c r="K85" s="15" t="n">
        <v>85</v>
      </c>
      <c r="L85" s="15" t="inlineStr">
        <is>
          <t>Under-represented</t>
        </is>
      </c>
      <c r="M85" s="15">
        <f>IFERROR((F85-E85)/E85*100,0)</f>
        <v/>
      </c>
      <c r="N85" s="14">
        <f>F85-I85</f>
        <v/>
      </c>
      <c r="O85" s="14" t="n"/>
    </row>
    <row r="86">
      <c r="A86" t="inlineStr">
        <is>
          <t>CON-085</t>
        </is>
      </c>
      <c r="B86" t="inlineStr">
        <is>
          <t>Tamil Nadu</t>
        </is>
      </c>
      <c r="C86" t="inlineStr">
        <is>
          <t>Tamil_Dist_85</t>
        </is>
      </c>
      <c r="D86" t="inlineStr">
        <is>
          <t>General</t>
        </is>
      </c>
      <c r="E86" s="14" t="n">
        <v>1924</v>
      </c>
      <c r="F86" s="14" t="n">
        <v>2725</v>
      </c>
      <c r="G86" s="15" t="n">
        <v>76.92</v>
      </c>
      <c r="H86" t="n">
        <v>1</v>
      </c>
      <c r="I86" s="14" t="n">
        <v>2200</v>
      </c>
      <c r="J86" s="15" t="n">
        <v>1.24</v>
      </c>
      <c r="K86" s="15" t="n">
        <v>24</v>
      </c>
      <c r="L86" s="15" t="inlineStr">
        <is>
          <t>Balanced</t>
        </is>
      </c>
      <c r="M86" s="15">
        <f>IFERROR((F86-E86)/E86*100,0)</f>
        <v/>
      </c>
      <c r="N86" s="14">
        <f>F86-I86</f>
        <v/>
      </c>
      <c r="O86" s="14" t="n"/>
    </row>
    <row r="87">
      <c r="A87" t="inlineStr">
        <is>
          <t>CON-086</t>
        </is>
      </c>
      <c r="B87" t="inlineStr">
        <is>
          <t>Andhra Pradesh</t>
        </is>
      </c>
      <c r="C87" t="inlineStr">
        <is>
          <t>Andhra_Dist_86</t>
        </is>
      </c>
      <c r="D87" t="inlineStr">
        <is>
          <t>General</t>
        </is>
      </c>
      <c r="E87" s="14" t="n">
        <v>2310</v>
      </c>
      <c r="F87" s="14" t="n">
        <v>3346</v>
      </c>
      <c r="G87" s="15" t="n">
        <v>55.33</v>
      </c>
      <c r="H87" t="n">
        <v>1</v>
      </c>
      <c r="I87" s="14" t="n">
        <v>2200</v>
      </c>
      <c r="J87" s="15" t="n">
        <v>1.52</v>
      </c>
      <c r="K87" s="15" t="n">
        <v>52</v>
      </c>
      <c r="L87" s="15" t="inlineStr">
        <is>
          <t>Under-represented</t>
        </is>
      </c>
      <c r="M87" s="15">
        <f>IFERROR((F87-E87)/E87*100,0)</f>
        <v/>
      </c>
      <c r="N87" s="14">
        <f>F87-I87</f>
        <v/>
      </c>
      <c r="O87" s="14" t="n"/>
    </row>
    <row r="88">
      <c r="A88" t="inlineStr">
        <is>
          <t>CON-087</t>
        </is>
      </c>
      <c r="B88" t="inlineStr">
        <is>
          <t>Andhra Pradesh</t>
        </is>
      </c>
      <c r="C88" t="inlineStr">
        <is>
          <t>Andhra_Dist_87</t>
        </is>
      </c>
      <c r="D88" t="inlineStr">
        <is>
          <t>General</t>
        </is>
      </c>
      <c r="E88" s="14" t="n">
        <v>2485</v>
      </c>
      <c r="F88" s="14" t="n">
        <v>3881</v>
      </c>
      <c r="G88" s="15" t="n">
        <v>62.54</v>
      </c>
      <c r="H88" t="n">
        <v>1</v>
      </c>
      <c r="I88" s="14" t="n">
        <v>2200</v>
      </c>
      <c r="J88" s="15" t="n">
        <v>1.76</v>
      </c>
      <c r="K88" s="15" t="n">
        <v>76</v>
      </c>
      <c r="L88" s="15" t="inlineStr">
        <is>
          <t>Under-represented</t>
        </is>
      </c>
      <c r="M88" s="15">
        <f>IFERROR((F88-E88)/E88*100,0)</f>
        <v/>
      </c>
      <c r="N88" s="14">
        <f>F88-I88</f>
        <v/>
      </c>
      <c r="O88" s="14" t="n"/>
    </row>
    <row r="89">
      <c r="A89" t="inlineStr">
        <is>
          <t>CON-088</t>
        </is>
      </c>
      <c r="B89" t="inlineStr">
        <is>
          <t>Andhra Pradesh</t>
        </is>
      </c>
      <c r="C89" t="inlineStr">
        <is>
          <t>Andhra_Dist_88</t>
        </is>
      </c>
      <c r="D89" t="inlineStr">
        <is>
          <t>SC</t>
        </is>
      </c>
      <c r="E89" s="14" t="n">
        <v>2459</v>
      </c>
      <c r="F89" s="14" t="n">
        <v>3668</v>
      </c>
      <c r="G89" s="15" t="n">
        <v>78.98999999999999</v>
      </c>
      <c r="H89" t="n">
        <v>1</v>
      </c>
      <c r="I89" s="14" t="n">
        <v>2200</v>
      </c>
      <c r="J89" s="15" t="n">
        <v>1.67</v>
      </c>
      <c r="K89" s="15" t="n">
        <v>67</v>
      </c>
      <c r="L89" s="15" t="inlineStr">
        <is>
          <t>Under-represented</t>
        </is>
      </c>
      <c r="M89" s="15">
        <f>IFERROR((F89-E89)/E89*100,0)</f>
        <v/>
      </c>
      <c r="N89" s="14">
        <f>F89-I89</f>
        <v/>
      </c>
      <c r="O89" s="14" t="n"/>
    </row>
    <row r="90">
      <c r="A90" t="inlineStr">
        <is>
          <t>CON-089</t>
        </is>
      </c>
      <c r="B90" t="inlineStr">
        <is>
          <t>West Bengal</t>
        </is>
      </c>
      <c r="C90" t="inlineStr">
        <is>
          <t>West_Dist_89</t>
        </is>
      </c>
      <c r="D90" t="inlineStr">
        <is>
          <t>ST</t>
        </is>
      </c>
      <c r="E90" s="14" t="n">
        <v>2006</v>
      </c>
      <c r="F90" s="14" t="n">
        <v>3007</v>
      </c>
      <c r="G90" s="15" t="n">
        <v>65.06</v>
      </c>
      <c r="H90" t="n">
        <v>1</v>
      </c>
      <c r="I90" s="14" t="n">
        <v>2200</v>
      </c>
      <c r="J90" s="15" t="n">
        <v>1.37</v>
      </c>
      <c r="K90" s="15" t="n">
        <v>37</v>
      </c>
      <c r="L90" s="15" t="inlineStr">
        <is>
          <t>Under-represented</t>
        </is>
      </c>
      <c r="M90" s="15">
        <f>IFERROR((F90-E90)/E90*100,0)</f>
        <v/>
      </c>
      <c r="N90" s="14">
        <f>F90-I90</f>
        <v/>
      </c>
      <c r="O90" s="14" t="n"/>
    </row>
    <row r="91">
      <c r="A91" t="inlineStr">
        <is>
          <t>CON-090</t>
        </is>
      </c>
      <c r="B91" t="inlineStr">
        <is>
          <t>Uttar Pradesh</t>
        </is>
      </c>
      <c r="C91" t="inlineStr">
        <is>
          <t>Uttar_Dist_90</t>
        </is>
      </c>
      <c r="D91" t="inlineStr">
        <is>
          <t>General</t>
        </is>
      </c>
      <c r="E91" s="14" t="n">
        <v>2304</v>
      </c>
      <c r="F91" s="14" t="n">
        <v>3189</v>
      </c>
      <c r="G91" s="15" t="n">
        <v>53.38</v>
      </c>
      <c r="H91" t="n">
        <v>1</v>
      </c>
      <c r="I91" s="14" t="n">
        <v>2200</v>
      </c>
      <c r="J91" s="15" t="n">
        <v>1.45</v>
      </c>
      <c r="K91" s="15" t="n">
        <v>45</v>
      </c>
      <c r="L91" s="15" t="inlineStr">
        <is>
          <t>Under-represented</t>
        </is>
      </c>
      <c r="M91" s="15">
        <f>IFERROR((F91-E91)/E91*100,0)</f>
        <v/>
      </c>
      <c r="N91" s="14">
        <f>F91-I91</f>
        <v/>
      </c>
      <c r="O91" s="14" t="n"/>
    </row>
    <row r="92">
      <c r="A92" t="inlineStr">
        <is>
          <t>CON-091</t>
        </is>
      </c>
      <c r="B92" t="inlineStr">
        <is>
          <t>Telangana</t>
        </is>
      </c>
      <c r="C92" t="inlineStr">
        <is>
          <t>Telangana_Dist_91</t>
        </is>
      </c>
      <c r="D92" t="inlineStr">
        <is>
          <t>General</t>
        </is>
      </c>
      <c r="E92" s="14" t="n">
        <v>2808</v>
      </c>
      <c r="F92" s="14" t="n">
        <v>4639</v>
      </c>
      <c r="G92" s="15" t="n">
        <v>64.69</v>
      </c>
      <c r="H92" t="n">
        <v>1</v>
      </c>
      <c r="I92" s="14" t="n">
        <v>2200</v>
      </c>
      <c r="J92" s="15" t="n">
        <v>2.11</v>
      </c>
      <c r="K92" s="15" t="n">
        <v>111</v>
      </c>
      <c r="L92" s="15" t="inlineStr">
        <is>
          <t>Under-represented</t>
        </is>
      </c>
      <c r="M92" s="15">
        <f>IFERROR((F92-E92)/E92*100,0)</f>
        <v/>
      </c>
      <c r="N92" s="14">
        <f>F92-I92</f>
        <v/>
      </c>
      <c r="O92" s="14" t="n"/>
    </row>
    <row r="93">
      <c r="A93" t="inlineStr">
        <is>
          <t>CON-092</t>
        </is>
      </c>
      <c r="B93" t="inlineStr">
        <is>
          <t>Andhra Pradesh</t>
        </is>
      </c>
      <c r="C93" t="inlineStr">
        <is>
          <t>Andhra_Dist_92</t>
        </is>
      </c>
      <c r="D93" t="inlineStr">
        <is>
          <t>General</t>
        </is>
      </c>
      <c r="E93" s="14" t="n">
        <v>3392</v>
      </c>
      <c r="F93" s="14" t="n">
        <v>4994</v>
      </c>
      <c r="G93" s="15" t="n">
        <v>82.97</v>
      </c>
      <c r="H93" t="n">
        <v>1</v>
      </c>
      <c r="I93" s="14" t="n">
        <v>2200</v>
      </c>
      <c r="J93" s="15" t="n">
        <v>2.27</v>
      </c>
      <c r="K93" s="15" t="n">
        <v>127</v>
      </c>
      <c r="L93" s="15" t="inlineStr">
        <is>
          <t>Under-represented</t>
        </is>
      </c>
      <c r="M93" s="15">
        <f>IFERROR((F93-E93)/E93*100,0)</f>
        <v/>
      </c>
      <c r="N93" s="14">
        <f>F93-I93</f>
        <v/>
      </c>
      <c r="O93" s="14" t="n"/>
    </row>
    <row r="94">
      <c r="A94" t="inlineStr">
        <is>
          <t>CON-093</t>
        </is>
      </c>
      <c r="B94" t="inlineStr">
        <is>
          <t>Uttar Pradesh</t>
        </is>
      </c>
      <c r="C94" t="inlineStr">
        <is>
          <t>Uttar_Dist_93</t>
        </is>
      </c>
      <c r="D94" t="inlineStr">
        <is>
          <t>SC</t>
        </is>
      </c>
      <c r="E94" s="14" t="n">
        <v>1359</v>
      </c>
      <c r="F94" s="14" t="n">
        <v>2060</v>
      </c>
      <c r="G94" s="15" t="n">
        <v>77.31</v>
      </c>
      <c r="H94" t="n">
        <v>1</v>
      </c>
      <c r="I94" s="14" t="n">
        <v>2200</v>
      </c>
      <c r="J94" s="15" t="n">
        <v>0.9399999999999999</v>
      </c>
      <c r="K94" s="15" t="n">
        <v>6</v>
      </c>
      <c r="L94" s="15" t="inlineStr">
        <is>
          <t>Balanced</t>
        </is>
      </c>
      <c r="M94" s="15">
        <f>IFERROR((F94-E94)/E94*100,0)</f>
        <v/>
      </c>
      <c r="N94" s="14">
        <f>F94-I94</f>
        <v/>
      </c>
      <c r="O94" s="14" t="n"/>
    </row>
    <row r="95">
      <c r="A95" t="inlineStr">
        <is>
          <t>CON-094</t>
        </is>
      </c>
      <c r="B95" t="inlineStr">
        <is>
          <t>West Bengal</t>
        </is>
      </c>
      <c r="C95" t="inlineStr">
        <is>
          <t>West_Dist_94</t>
        </is>
      </c>
      <c r="D95" t="inlineStr">
        <is>
          <t>General</t>
        </is>
      </c>
      <c r="E95" s="14" t="n">
        <v>3562</v>
      </c>
      <c r="F95" s="14" t="n">
        <v>5394</v>
      </c>
      <c r="G95" s="15" t="n">
        <v>78.79000000000001</v>
      </c>
      <c r="H95" t="n">
        <v>1</v>
      </c>
      <c r="I95" s="14" t="n">
        <v>2200</v>
      </c>
      <c r="J95" s="15" t="n">
        <v>2.45</v>
      </c>
      <c r="K95" s="15" t="n">
        <v>145</v>
      </c>
      <c r="L95" s="15" t="inlineStr">
        <is>
          <t>Under-represented</t>
        </is>
      </c>
      <c r="M95" s="15">
        <f>IFERROR((F95-E95)/E95*100,0)</f>
        <v/>
      </c>
      <c r="N95" s="14">
        <f>F95-I95</f>
        <v/>
      </c>
      <c r="O95" s="14" t="n"/>
    </row>
    <row r="96">
      <c r="A96" t="inlineStr">
        <is>
          <t>CON-095</t>
        </is>
      </c>
      <c r="B96" t="inlineStr">
        <is>
          <t>Uttar Pradesh</t>
        </is>
      </c>
      <c r="C96" t="inlineStr">
        <is>
          <t>Uttar_Dist_95</t>
        </is>
      </c>
      <c r="D96" t="inlineStr">
        <is>
          <t>General</t>
        </is>
      </c>
      <c r="E96" s="14" t="n">
        <v>2439</v>
      </c>
      <c r="F96" s="14" t="n">
        <v>3898</v>
      </c>
      <c r="G96" s="15" t="n">
        <v>80.70999999999999</v>
      </c>
      <c r="H96" t="n">
        <v>1</v>
      </c>
      <c r="I96" s="14" t="n">
        <v>2200</v>
      </c>
      <c r="J96" s="15" t="n">
        <v>1.77</v>
      </c>
      <c r="K96" s="15" t="n">
        <v>77</v>
      </c>
      <c r="L96" s="15" t="inlineStr">
        <is>
          <t>Under-represented</t>
        </is>
      </c>
      <c r="M96" s="15">
        <f>IFERROR((F96-E96)/E96*100,0)</f>
        <v/>
      </c>
      <c r="N96" s="14">
        <f>F96-I96</f>
        <v/>
      </c>
      <c r="O96" s="14" t="n"/>
    </row>
    <row r="97">
      <c r="A97" t="inlineStr">
        <is>
          <t>CON-096</t>
        </is>
      </c>
      <c r="B97" t="inlineStr">
        <is>
          <t>Andhra Pradesh</t>
        </is>
      </c>
      <c r="C97" t="inlineStr">
        <is>
          <t>Andhra_Dist_96</t>
        </is>
      </c>
      <c r="D97" t="inlineStr">
        <is>
          <t>General</t>
        </is>
      </c>
      <c r="E97" s="14" t="n">
        <v>3277</v>
      </c>
      <c r="F97" s="14" t="n">
        <v>4659</v>
      </c>
      <c r="G97" s="15" t="n">
        <v>62.25</v>
      </c>
      <c r="H97" t="n">
        <v>1</v>
      </c>
      <c r="I97" s="14" t="n">
        <v>2200</v>
      </c>
      <c r="J97" s="15" t="n">
        <v>2.12</v>
      </c>
      <c r="K97" s="15" t="n">
        <v>112</v>
      </c>
      <c r="L97" s="15" t="inlineStr">
        <is>
          <t>Under-represented</t>
        </is>
      </c>
      <c r="M97" s="15">
        <f>IFERROR((F97-E97)/E97*100,0)</f>
        <v/>
      </c>
      <c r="N97" s="14">
        <f>F97-I97</f>
        <v/>
      </c>
      <c r="O97" s="14" t="n"/>
    </row>
    <row r="98">
      <c r="A98" t="inlineStr">
        <is>
          <t>CON-097</t>
        </is>
      </c>
      <c r="B98" t="inlineStr">
        <is>
          <t>Tamil Nadu</t>
        </is>
      </c>
      <c r="C98" t="inlineStr">
        <is>
          <t>Tamil_Dist_97</t>
        </is>
      </c>
      <c r="D98" t="inlineStr">
        <is>
          <t>General</t>
        </is>
      </c>
      <c r="E98" s="14" t="n">
        <v>3570</v>
      </c>
      <c r="F98" s="14" t="n">
        <v>5072</v>
      </c>
      <c r="G98" s="15" t="n">
        <v>81.09</v>
      </c>
      <c r="H98" t="n">
        <v>1</v>
      </c>
      <c r="I98" s="14" t="n">
        <v>2200</v>
      </c>
      <c r="J98" s="15" t="n">
        <v>2.31</v>
      </c>
      <c r="K98" s="15" t="n">
        <v>131</v>
      </c>
      <c r="L98" s="15" t="inlineStr">
        <is>
          <t>Under-represented</t>
        </is>
      </c>
      <c r="M98" s="15">
        <f>IFERROR((F98-E98)/E98*100,0)</f>
        <v/>
      </c>
      <c r="N98" s="14">
        <f>F98-I98</f>
        <v/>
      </c>
      <c r="O98" s="14" t="n"/>
    </row>
    <row r="99">
      <c r="A99" t="inlineStr">
        <is>
          <t>CON-098</t>
        </is>
      </c>
      <c r="B99" t="inlineStr">
        <is>
          <t>Telangana</t>
        </is>
      </c>
      <c r="C99" t="inlineStr">
        <is>
          <t>Telangana_Dist_98</t>
        </is>
      </c>
      <c r="D99" t="inlineStr">
        <is>
          <t>General</t>
        </is>
      </c>
      <c r="E99" s="14" t="n">
        <v>2658</v>
      </c>
      <c r="F99" s="14" t="n">
        <v>3457</v>
      </c>
      <c r="G99" s="15" t="n">
        <v>54.1</v>
      </c>
      <c r="H99" t="n">
        <v>1</v>
      </c>
      <c r="I99" s="14" t="n">
        <v>2200</v>
      </c>
      <c r="J99" s="15" t="n">
        <v>1.57</v>
      </c>
      <c r="K99" s="15" t="n">
        <v>57</v>
      </c>
      <c r="L99" s="15" t="inlineStr">
        <is>
          <t>Under-represented</t>
        </is>
      </c>
      <c r="M99" s="15">
        <f>IFERROR((F99-E99)/E99*100,0)</f>
        <v/>
      </c>
      <c r="N99" s="14">
        <f>F99-I99</f>
        <v/>
      </c>
      <c r="O99" s="14" t="n"/>
    </row>
    <row r="100">
      <c r="A100" t="inlineStr">
        <is>
          <t>CON-099</t>
        </is>
      </c>
      <c r="B100" t="inlineStr">
        <is>
          <t>Telangana</t>
        </is>
      </c>
      <c r="C100" t="inlineStr">
        <is>
          <t>Telangana_Dist_99</t>
        </is>
      </c>
      <c r="D100" t="inlineStr">
        <is>
          <t>General</t>
        </is>
      </c>
      <c r="E100" s="14" t="n">
        <v>3724</v>
      </c>
      <c r="F100" s="14" t="n">
        <v>6064</v>
      </c>
      <c r="G100" s="15" t="n">
        <v>54.44</v>
      </c>
      <c r="H100" t="n">
        <v>1</v>
      </c>
      <c r="I100" s="14" t="n">
        <v>2200</v>
      </c>
      <c r="J100" s="15" t="n">
        <v>2.76</v>
      </c>
      <c r="K100" s="15" t="n">
        <v>176</v>
      </c>
      <c r="L100" s="15" t="inlineStr">
        <is>
          <t>Under-represented</t>
        </is>
      </c>
      <c r="M100" s="15">
        <f>IFERROR((F100-E100)/E100*100,0)</f>
        <v/>
      </c>
      <c r="N100" s="14">
        <f>F100-I100</f>
        <v/>
      </c>
      <c r="O100" s="14" t="n"/>
    </row>
    <row r="101">
      <c r="A101" t="inlineStr">
        <is>
          <t>CON-100</t>
        </is>
      </c>
      <c r="B101" t="inlineStr">
        <is>
          <t>Bihar</t>
        </is>
      </c>
      <c r="C101" t="inlineStr">
        <is>
          <t>Bihar_Dist_100</t>
        </is>
      </c>
      <c r="D101" t="inlineStr">
        <is>
          <t>SC</t>
        </is>
      </c>
      <c r="E101" s="14" t="n">
        <v>3112</v>
      </c>
      <c r="F101" s="14" t="n">
        <v>4638</v>
      </c>
      <c r="G101" s="15" t="n">
        <v>70.90000000000001</v>
      </c>
      <c r="H101" t="n">
        <v>1</v>
      </c>
      <c r="I101" s="14" t="n">
        <v>2200</v>
      </c>
      <c r="J101" s="15" t="n">
        <v>2.11</v>
      </c>
      <c r="K101" s="15" t="n">
        <v>111</v>
      </c>
      <c r="L101" s="15" t="inlineStr">
        <is>
          <t>Under-represented</t>
        </is>
      </c>
      <c r="M101" s="15">
        <f>IFERROR((F101-E101)/E101*100,0)</f>
        <v/>
      </c>
      <c r="N101" s="14">
        <f>F101-I101</f>
        <v/>
      </c>
      <c r="O101" s="14" t="n"/>
    </row>
    <row r="102">
      <c r="A102" t="inlineStr">
        <is>
          <t>CON-101</t>
        </is>
      </c>
      <c r="B102" t="inlineStr">
        <is>
          <t>Karnataka</t>
        </is>
      </c>
      <c r="C102" t="inlineStr">
        <is>
          <t>Karnataka_Dist_101</t>
        </is>
      </c>
      <c r="D102" t="inlineStr">
        <is>
          <t>General</t>
        </is>
      </c>
      <c r="E102" s="14" t="n">
        <v>3482</v>
      </c>
      <c r="F102" s="14" t="n">
        <v>5553</v>
      </c>
      <c r="G102" s="15" t="n">
        <v>72.19</v>
      </c>
      <c r="H102" t="n">
        <v>1</v>
      </c>
      <c r="I102" s="14" t="n">
        <v>2200</v>
      </c>
      <c r="J102" s="15" t="n">
        <v>2.52</v>
      </c>
      <c r="K102" s="15" t="n">
        <v>152</v>
      </c>
      <c r="L102" s="15" t="inlineStr">
        <is>
          <t>Under-represented</t>
        </is>
      </c>
      <c r="M102" s="15">
        <f>IFERROR((F102-E102)/E102*100,0)</f>
        <v/>
      </c>
      <c r="N102" s="14">
        <f>F102-I102</f>
        <v/>
      </c>
      <c r="O102" s="14" t="n"/>
    </row>
    <row r="103">
      <c r="A103" t="inlineStr">
        <is>
          <t>CON-102</t>
        </is>
      </c>
      <c r="B103" t="inlineStr">
        <is>
          <t>Tamil Nadu</t>
        </is>
      </c>
      <c r="C103" t="inlineStr">
        <is>
          <t>Tamil_Dist_102</t>
        </is>
      </c>
      <c r="D103" t="inlineStr">
        <is>
          <t>ST</t>
        </is>
      </c>
      <c r="E103" s="14" t="n">
        <v>3762</v>
      </c>
      <c r="F103" s="14" t="n">
        <v>6497</v>
      </c>
      <c r="G103" s="15" t="n">
        <v>61.28</v>
      </c>
      <c r="H103" t="n">
        <v>1</v>
      </c>
      <c r="I103" s="14" t="n">
        <v>2200</v>
      </c>
      <c r="J103" s="15" t="n">
        <v>2.95</v>
      </c>
      <c r="K103" s="15" t="n">
        <v>195</v>
      </c>
      <c r="L103" s="15" t="inlineStr">
        <is>
          <t>Under-represented</t>
        </is>
      </c>
      <c r="M103" s="15">
        <f>IFERROR((F103-E103)/E103*100,0)</f>
        <v/>
      </c>
      <c r="N103" s="14">
        <f>F103-I103</f>
        <v/>
      </c>
      <c r="O103" s="14" t="n"/>
    </row>
    <row r="104">
      <c r="A104" t="inlineStr">
        <is>
          <t>CON-103</t>
        </is>
      </c>
      <c r="B104" t="inlineStr">
        <is>
          <t>Karnataka</t>
        </is>
      </c>
      <c r="C104" t="inlineStr">
        <is>
          <t>Karnataka_Dist_103</t>
        </is>
      </c>
      <c r="D104" t="inlineStr">
        <is>
          <t>General</t>
        </is>
      </c>
      <c r="E104" s="14" t="n">
        <v>2085</v>
      </c>
      <c r="F104" s="14" t="n">
        <v>2932</v>
      </c>
      <c r="G104" s="15" t="n">
        <v>80.47</v>
      </c>
      <c r="H104" t="n">
        <v>1</v>
      </c>
      <c r="I104" s="14" t="n">
        <v>2200</v>
      </c>
      <c r="J104" s="15" t="n">
        <v>1.33</v>
      </c>
      <c r="K104" s="15" t="n">
        <v>33</v>
      </c>
      <c r="L104" s="15" t="inlineStr">
        <is>
          <t>Under-represented</t>
        </is>
      </c>
      <c r="M104" s="15">
        <f>IFERROR((F104-E104)/E104*100,0)</f>
        <v/>
      </c>
      <c r="N104" s="14">
        <f>F104-I104</f>
        <v/>
      </c>
      <c r="O104" s="14" t="n"/>
    </row>
    <row r="105">
      <c r="A105" t="inlineStr">
        <is>
          <t>CON-104</t>
        </is>
      </c>
      <c r="B105" t="inlineStr">
        <is>
          <t>Karnataka</t>
        </is>
      </c>
      <c r="C105" t="inlineStr">
        <is>
          <t>Karnataka_Dist_104</t>
        </is>
      </c>
      <c r="D105" t="inlineStr">
        <is>
          <t>General</t>
        </is>
      </c>
      <c r="E105" s="14" t="n">
        <v>2512</v>
      </c>
      <c r="F105" s="14" t="n">
        <v>3861</v>
      </c>
      <c r="G105" s="15" t="n">
        <v>80.55</v>
      </c>
      <c r="H105" t="n">
        <v>1</v>
      </c>
      <c r="I105" s="14" t="n">
        <v>2200</v>
      </c>
      <c r="J105" s="15" t="n">
        <v>1.75</v>
      </c>
      <c r="K105" s="15" t="n">
        <v>75</v>
      </c>
      <c r="L105" s="15" t="inlineStr">
        <is>
          <t>Under-represented</t>
        </is>
      </c>
      <c r="M105" s="15">
        <f>IFERROR((F105-E105)/E105*100,0)</f>
        <v/>
      </c>
      <c r="N105" s="14">
        <f>F105-I105</f>
        <v/>
      </c>
      <c r="O105" s="14" t="n"/>
    </row>
    <row r="106">
      <c r="A106" t="inlineStr">
        <is>
          <t>CON-105</t>
        </is>
      </c>
      <c r="B106" t="inlineStr">
        <is>
          <t>Tamil Nadu</t>
        </is>
      </c>
      <c r="C106" t="inlineStr">
        <is>
          <t>Tamil_Dist_105</t>
        </is>
      </c>
      <c r="D106" t="inlineStr">
        <is>
          <t>General</t>
        </is>
      </c>
      <c r="E106" s="14" t="n">
        <v>3558</v>
      </c>
      <c r="F106" s="14" t="n">
        <v>4681</v>
      </c>
      <c r="G106" s="15" t="n">
        <v>80.27</v>
      </c>
      <c r="H106" t="n">
        <v>1</v>
      </c>
      <c r="I106" s="14" t="n">
        <v>2200</v>
      </c>
      <c r="J106" s="15" t="n">
        <v>2.13</v>
      </c>
      <c r="K106" s="15" t="n">
        <v>113</v>
      </c>
      <c r="L106" s="15" t="inlineStr">
        <is>
          <t>Under-represented</t>
        </is>
      </c>
      <c r="M106" s="15">
        <f>IFERROR((F106-E106)/E106*100,0)</f>
        <v/>
      </c>
      <c r="N106" s="14">
        <f>F106-I106</f>
        <v/>
      </c>
      <c r="O106" s="14" t="n"/>
    </row>
    <row r="107">
      <c r="A107" t="inlineStr">
        <is>
          <t>CON-106</t>
        </is>
      </c>
      <c r="B107" t="inlineStr">
        <is>
          <t>Karnataka</t>
        </is>
      </c>
      <c r="C107" t="inlineStr">
        <is>
          <t>Karnataka_Dist_106</t>
        </is>
      </c>
      <c r="D107" t="inlineStr">
        <is>
          <t>General</t>
        </is>
      </c>
      <c r="E107" s="14" t="n">
        <v>2093</v>
      </c>
      <c r="F107" s="14" t="n">
        <v>3578</v>
      </c>
      <c r="G107" s="15" t="n">
        <v>74.39</v>
      </c>
      <c r="H107" t="n">
        <v>1</v>
      </c>
      <c r="I107" s="14" t="n">
        <v>2200</v>
      </c>
      <c r="J107" s="15" t="n">
        <v>1.63</v>
      </c>
      <c r="K107" s="15" t="n">
        <v>63</v>
      </c>
      <c r="L107" s="15" t="inlineStr">
        <is>
          <t>Under-represented</t>
        </is>
      </c>
      <c r="M107" s="15">
        <f>IFERROR((F107-E107)/E107*100,0)</f>
        <v/>
      </c>
      <c r="N107" s="14">
        <f>F107-I107</f>
        <v/>
      </c>
      <c r="O107" s="14" t="n"/>
    </row>
    <row r="108">
      <c r="A108" t="inlineStr">
        <is>
          <t>CON-107</t>
        </is>
      </c>
      <c r="B108" t="inlineStr">
        <is>
          <t>Telangana</t>
        </is>
      </c>
      <c r="C108" t="inlineStr">
        <is>
          <t>Telangana_Dist_107</t>
        </is>
      </c>
      <c r="D108" t="inlineStr">
        <is>
          <t>General</t>
        </is>
      </c>
      <c r="E108" s="14" t="n">
        <v>2790</v>
      </c>
      <c r="F108" s="14" t="n">
        <v>4197</v>
      </c>
      <c r="G108" s="15" t="n">
        <v>66.92</v>
      </c>
      <c r="H108" t="n">
        <v>1</v>
      </c>
      <c r="I108" s="14" t="n">
        <v>2200</v>
      </c>
      <c r="J108" s="15" t="n">
        <v>1.91</v>
      </c>
      <c r="K108" s="15" t="n">
        <v>91</v>
      </c>
      <c r="L108" s="15" t="inlineStr">
        <is>
          <t>Under-represented</t>
        </is>
      </c>
      <c r="M108" s="15">
        <f>IFERROR((F108-E108)/E108*100,0)</f>
        <v/>
      </c>
      <c r="N108" s="14">
        <f>F108-I108</f>
        <v/>
      </c>
      <c r="O108" s="14" t="n"/>
    </row>
    <row r="109">
      <c r="A109" t="inlineStr">
        <is>
          <t>CON-108</t>
        </is>
      </c>
      <c r="B109" t="inlineStr">
        <is>
          <t>Bihar</t>
        </is>
      </c>
      <c r="C109" t="inlineStr">
        <is>
          <t>Bihar_Dist_108</t>
        </is>
      </c>
      <c r="D109" t="inlineStr">
        <is>
          <t>General</t>
        </is>
      </c>
      <c r="E109" s="14" t="n">
        <v>2264</v>
      </c>
      <c r="F109" s="14" t="n">
        <v>3911</v>
      </c>
      <c r="G109" s="15" t="n">
        <v>72.25</v>
      </c>
      <c r="H109" t="n">
        <v>1</v>
      </c>
      <c r="I109" s="14" t="n">
        <v>2200</v>
      </c>
      <c r="J109" s="15" t="n">
        <v>1.78</v>
      </c>
      <c r="K109" s="15" t="n">
        <v>78</v>
      </c>
      <c r="L109" s="15" t="inlineStr">
        <is>
          <t>Under-represented</t>
        </is>
      </c>
      <c r="M109" s="15">
        <f>IFERROR((F109-E109)/E109*100,0)</f>
        <v/>
      </c>
      <c r="N109" s="14">
        <f>F109-I109</f>
        <v/>
      </c>
      <c r="O109" s="14" t="n"/>
    </row>
    <row r="110">
      <c r="A110" t="inlineStr">
        <is>
          <t>CON-109</t>
        </is>
      </c>
      <c r="B110" t="inlineStr">
        <is>
          <t>Maharashtra</t>
        </is>
      </c>
      <c r="C110" t="inlineStr">
        <is>
          <t>Maharashtra_Dist_109</t>
        </is>
      </c>
      <c r="D110" t="inlineStr">
        <is>
          <t>ST</t>
        </is>
      </c>
      <c r="E110" s="14" t="n">
        <v>2241</v>
      </c>
      <c r="F110" s="14" t="n">
        <v>3673</v>
      </c>
      <c r="G110" s="15" t="n">
        <v>78.11</v>
      </c>
      <c r="H110" t="n">
        <v>1</v>
      </c>
      <c r="I110" s="14" t="n">
        <v>2200</v>
      </c>
      <c r="J110" s="15" t="n">
        <v>1.67</v>
      </c>
      <c r="K110" s="15" t="n">
        <v>67</v>
      </c>
      <c r="L110" s="15" t="inlineStr">
        <is>
          <t>Under-represented</t>
        </is>
      </c>
      <c r="M110" s="15">
        <f>IFERROR((F110-E110)/E110*100,0)</f>
        <v/>
      </c>
      <c r="N110" s="14">
        <f>F110-I110</f>
        <v/>
      </c>
      <c r="O110" s="14" t="n"/>
    </row>
    <row r="111">
      <c r="A111" t="inlineStr">
        <is>
          <t>CON-110</t>
        </is>
      </c>
      <c r="B111" t="inlineStr">
        <is>
          <t>Maharashtra</t>
        </is>
      </c>
      <c r="C111" t="inlineStr">
        <is>
          <t>Maharashtra_Dist_110</t>
        </is>
      </c>
      <c r="D111" t="inlineStr">
        <is>
          <t>General</t>
        </is>
      </c>
      <c r="E111" s="14" t="n">
        <v>3620</v>
      </c>
      <c r="F111" s="14" t="n">
        <v>4804</v>
      </c>
      <c r="G111" s="15" t="n">
        <v>63.17</v>
      </c>
      <c r="H111" t="n">
        <v>1</v>
      </c>
      <c r="I111" s="14" t="n">
        <v>2200</v>
      </c>
      <c r="J111" s="15" t="n">
        <v>2.18</v>
      </c>
      <c r="K111" s="15" t="n">
        <v>118</v>
      </c>
      <c r="L111" s="15" t="inlineStr">
        <is>
          <t>Under-represented</t>
        </is>
      </c>
      <c r="M111" s="15">
        <f>IFERROR((F111-E111)/E111*100,0)</f>
        <v/>
      </c>
      <c r="N111" s="14">
        <f>F111-I111</f>
        <v/>
      </c>
      <c r="O111" s="14" t="n"/>
    </row>
    <row r="112">
      <c r="A112" t="inlineStr">
        <is>
          <t>CON-111</t>
        </is>
      </c>
      <c r="B112" t="inlineStr">
        <is>
          <t>Maharashtra</t>
        </is>
      </c>
      <c r="C112" t="inlineStr">
        <is>
          <t>Maharashtra_Dist_111</t>
        </is>
      </c>
      <c r="D112" t="inlineStr">
        <is>
          <t>General</t>
        </is>
      </c>
      <c r="E112" s="14" t="n">
        <v>1793</v>
      </c>
      <c r="F112" s="14" t="n">
        <v>2507</v>
      </c>
      <c r="G112" s="15" t="n">
        <v>71.36</v>
      </c>
      <c r="H112" t="n">
        <v>1</v>
      </c>
      <c r="I112" s="14" t="n">
        <v>2200</v>
      </c>
      <c r="J112" s="15" t="n">
        <v>1.14</v>
      </c>
      <c r="K112" s="15" t="n">
        <v>14</v>
      </c>
      <c r="L112" s="15" t="inlineStr">
        <is>
          <t>Balanced</t>
        </is>
      </c>
      <c r="M112" s="15">
        <f>IFERROR((F112-E112)/E112*100,0)</f>
        <v/>
      </c>
      <c r="N112" s="14">
        <f>F112-I112</f>
        <v/>
      </c>
      <c r="O112" s="14" t="n"/>
    </row>
    <row r="113">
      <c r="A113" t="inlineStr">
        <is>
          <t>CON-112</t>
        </is>
      </c>
      <c r="B113" t="inlineStr">
        <is>
          <t>West Bengal</t>
        </is>
      </c>
      <c r="C113" t="inlineStr">
        <is>
          <t>West_Dist_112</t>
        </is>
      </c>
      <c r="D113" t="inlineStr">
        <is>
          <t>SC</t>
        </is>
      </c>
      <c r="E113" s="14" t="n">
        <v>3041</v>
      </c>
      <c r="F113" s="14" t="n">
        <v>4303</v>
      </c>
      <c r="G113" s="15" t="n">
        <v>66.05</v>
      </c>
      <c r="H113" t="n">
        <v>1</v>
      </c>
      <c r="I113" s="14" t="n">
        <v>2200</v>
      </c>
      <c r="J113" s="15" t="n">
        <v>1.96</v>
      </c>
      <c r="K113" s="15" t="n">
        <v>96</v>
      </c>
      <c r="L113" s="15" t="inlineStr">
        <is>
          <t>Under-represented</t>
        </is>
      </c>
      <c r="M113" s="15">
        <f>IFERROR((F113-E113)/E113*100,0)</f>
        <v/>
      </c>
      <c r="N113" s="14">
        <f>F113-I113</f>
        <v/>
      </c>
      <c r="O113" s="14" t="n"/>
    </row>
    <row r="114">
      <c r="A114" t="inlineStr">
        <is>
          <t>CON-113</t>
        </is>
      </c>
      <c r="B114" t="inlineStr">
        <is>
          <t>West Bengal</t>
        </is>
      </c>
      <c r="C114" t="inlineStr">
        <is>
          <t>West_Dist_113</t>
        </is>
      </c>
      <c r="D114" t="inlineStr">
        <is>
          <t>General</t>
        </is>
      </c>
      <c r="E114" s="14" t="n">
        <v>3194</v>
      </c>
      <c r="F114" s="14" t="n">
        <v>5334</v>
      </c>
      <c r="G114" s="15" t="n">
        <v>68.02</v>
      </c>
      <c r="H114" t="n">
        <v>1</v>
      </c>
      <c r="I114" s="14" t="n">
        <v>2200</v>
      </c>
      <c r="J114" s="15" t="n">
        <v>2.42</v>
      </c>
      <c r="K114" s="15" t="n">
        <v>142</v>
      </c>
      <c r="L114" s="15" t="inlineStr">
        <is>
          <t>Under-represented</t>
        </is>
      </c>
      <c r="M114" s="15">
        <f>IFERROR((F114-E114)/E114*100,0)</f>
        <v/>
      </c>
      <c r="N114" s="14">
        <f>F114-I114</f>
        <v/>
      </c>
      <c r="O114" s="14" t="n"/>
    </row>
    <row r="115">
      <c r="A115" t="inlineStr">
        <is>
          <t>CON-114</t>
        </is>
      </c>
      <c r="B115" t="inlineStr">
        <is>
          <t>Andhra Pradesh</t>
        </is>
      </c>
      <c r="C115" t="inlineStr">
        <is>
          <t>Andhra_Dist_114</t>
        </is>
      </c>
      <c r="D115" t="inlineStr">
        <is>
          <t>SC</t>
        </is>
      </c>
      <c r="E115" s="14" t="n">
        <v>2444</v>
      </c>
      <c r="F115" s="14" t="n">
        <v>4240</v>
      </c>
      <c r="G115" s="15" t="n">
        <v>56.69</v>
      </c>
      <c r="H115" t="n">
        <v>1</v>
      </c>
      <c r="I115" s="14" t="n">
        <v>2200</v>
      </c>
      <c r="J115" s="15" t="n">
        <v>1.93</v>
      </c>
      <c r="K115" s="15" t="n">
        <v>93</v>
      </c>
      <c r="L115" s="15" t="inlineStr">
        <is>
          <t>Under-represented</t>
        </is>
      </c>
      <c r="M115" s="15">
        <f>IFERROR((F115-E115)/E115*100,0)</f>
        <v/>
      </c>
      <c r="N115" s="14">
        <f>F115-I115</f>
        <v/>
      </c>
      <c r="O115" s="14" t="n"/>
    </row>
    <row r="116">
      <c r="A116" t="inlineStr">
        <is>
          <t>CON-115</t>
        </is>
      </c>
      <c r="B116" t="inlineStr">
        <is>
          <t>Telangana</t>
        </is>
      </c>
      <c r="C116" t="inlineStr">
        <is>
          <t>Telangana_Dist_115</t>
        </is>
      </c>
      <c r="D116" t="inlineStr">
        <is>
          <t>General</t>
        </is>
      </c>
      <c r="E116" s="14" t="n">
        <v>2534</v>
      </c>
      <c r="F116" s="14" t="n">
        <v>3936</v>
      </c>
      <c r="G116" s="15" t="n">
        <v>76.87</v>
      </c>
      <c r="H116" t="n">
        <v>1</v>
      </c>
      <c r="I116" s="14" t="n">
        <v>2200</v>
      </c>
      <c r="J116" s="15" t="n">
        <v>1.79</v>
      </c>
      <c r="K116" s="15" t="n">
        <v>79</v>
      </c>
      <c r="L116" s="15" t="inlineStr">
        <is>
          <t>Under-represented</t>
        </is>
      </c>
      <c r="M116" s="15">
        <f>IFERROR((F116-E116)/E116*100,0)</f>
        <v/>
      </c>
      <c r="N116" s="14">
        <f>F116-I116</f>
        <v/>
      </c>
      <c r="O116" s="14" t="n"/>
    </row>
    <row r="117">
      <c r="A117" t="inlineStr">
        <is>
          <t>CON-116</t>
        </is>
      </c>
      <c r="B117" t="inlineStr">
        <is>
          <t>Kerala</t>
        </is>
      </c>
      <c r="C117" t="inlineStr">
        <is>
          <t>Kerala_Dist_116</t>
        </is>
      </c>
      <c r="D117" t="inlineStr">
        <is>
          <t>General</t>
        </is>
      </c>
      <c r="E117" s="14" t="n">
        <v>2354</v>
      </c>
      <c r="F117" s="14" t="n">
        <v>3015</v>
      </c>
      <c r="G117" s="15" t="n">
        <v>61.45</v>
      </c>
      <c r="H117" t="n">
        <v>1</v>
      </c>
      <c r="I117" s="14" t="n">
        <v>2200</v>
      </c>
      <c r="J117" s="15" t="n">
        <v>1.37</v>
      </c>
      <c r="K117" s="15" t="n">
        <v>37</v>
      </c>
      <c r="L117" s="15" t="inlineStr">
        <is>
          <t>Under-represented</t>
        </is>
      </c>
      <c r="M117" s="15">
        <f>IFERROR((F117-E117)/E117*100,0)</f>
        <v/>
      </c>
      <c r="N117" s="14">
        <f>F117-I117</f>
        <v/>
      </c>
      <c r="O117" s="14" t="n"/>
    </row>
    <row r="118">
      <c r="A118" t="inlineStr">
        <is>
          <t>CON-117</t>
        </is>
      </c>
      <c r="B118" t="inlineStr">
        <is>
          <t>Kerala</t>
        </is>
      </c>
      <c r="C118" t="inlineStr">
        <is>
          <t>Kerala_Dist_117</t>
        </is>
      </c>
      <c r="D118" t="inlineStr">
        <is>
          <t>General</t>
        </is>
      </c>
      <c r="E118" s="14" t="n">
        <v>2239</v>
      </c>
      <c r="F118" s="14" t="n">
        <v>3878</v>
      </c>
      <c r="G118" s="15" t="n">
        <v>84.02</v>
      </c>
      <c r="H118" t="n">
        <v>1</v>
      </c>
      <c r="I118" s="14" t="n">
        <v>2200</v>
      </c>
      <c r="J118" s="15" t="n">
        <v>1.76</v>
      </c>
      <c r="K118" s="15" t="n">
        <v>76</v>
      </c>
      <c r="L118" s="15" t="inlineStr">
        <is>
          <t>Under-represented</t>
        </is>
      </c>
      <c r="M118" s="15">
        <f>IFERROR((F118-E118)/E118*100,0)</f>
        <v/>
      </c>
      <c r="N118" s="14">
        <f>F118-I118</f>
        <v/>
      </c>
      <c r="O118" s="14" t="n"/>
    </row>
    <row r="119">
      <c r="A119" t="inlineStr">
        <is>
          <t>CON-118</t>
        </is>
      </c>
      <c r="B119" t="inlineStr">
        <is>
          <t>West Bengal</t>
        </is>
      </c>
      <c r="C119" t="inlineStr">
        <is>
          <t>West_Dist_118</t>
        </is>
      </c>
      <c r="D119" t="inlineStr">
        <is>
          <t>General</t>
        </is>
      </c>
      <c r="E119" s="14" t="n">
        <v>3140</v>
      </c>
      <c r="F119" s="14" t="n">
        <v>5263</v>
      </c>
      <c r="G119" s="15" t="n">
        <v>60.36</v>
      </c>
      <c r="H119" t="n">
        <v>1</v>
      </c>
      <c r="I119" s="14" t="n">
        <v>2200</v>
      </c>
      <c r="J119" s="15" t="n">
        <v>2.39</v>
      </c>
      <c r="K119" s="15" t="n">
        <v>139</v>
      </c>
      <c r="L119" s="15" t="inlineStr">
        <is>
          <t>Under-represented</t>
        </is>
      </c>
      <c r="M119" s="15">
        <f>IFERROR((F119-E119)/E119*100,0)</f>
        <v/>
      </c>
      <c r="N119" s="14">
        <f>F119-I119</f>
        <v/>
      </c>
      <c r="O119" s="14" t="n"/>
    </row>
    <row r="120">
      <c r="A120" t="inlineStr">
        <is>
          <t>CON-119</t>
        </is>
      </c>
      <c r="B120" t="inlineStr">
        <is>
          <t>Bihar</t>
        </is>
      </c>
      <c r="C120" t="inlineStr">
        <is>
          <t>Bihar_Dist_119</t>
        </is>
      </c>
      <c r="D120" t="inlineStr">
        <is>
          <t>ST</t>
        </is>
      </c>
      <c r="E120" s="14" t="n">
        <v>3563</v>
      </c>
      <c r="F120" s="14" t="n">
        <v>5608</v>
      </c>
      <c r="G120" s="15" t="n">
        <v>63.47</v>
      </c>
      <c r="H120" t="n">
        <v>1</v>
      </c>
      <c r="I120" s="14" t="n">
        <v>2200</v>
      </c>
      <c r="J120" s="15" t="n">
        <v>2.55</v>
      </c>
      <c r="K120" s="15" t="n">
        <v>155</v>
      </c>
      <c r="L120" s="15" t="inlineStr">
        <is>
          <t>Under-represented</t>
        </is>
      </c>
      <c r="M120" s="15">
        <f>IFERROR((F120-E120)/E120*100,0)</f>
        <v/>
      </c>
      <c r="N120" s="14">
        <f>F120-I120</f>
        <v/>
      </c>
      <c r="O120" s="14" t="n"/>
    </row>
    <row r="121">
      <c r="A121" t="inlineStr">
        <is>
          <t>CON-120</t>
        </is>
      </c>
      <c r="B121" t="inlineStr">
        <is>
          <t>Bihar</t>
        </is>
      </c>
      <c r="C121" t="inlineStr">
        <is>
          <t>Bihar_Dist_120</t>
        </is>
      </c>
      <c r="D121" t="inlineStr">
        <is>
          <t>General</t>
        </is>
      </c>
      <c r="E121" s="14" t="n">
        <v>1405</v>
      </c>
      <c r="F121" s="14" t="n">
        <v>2176</v>
      </c>
      <c r="G121" s="15" t="n">
        <v>69.95</v>
      </c>
      <c r="H121" t="n">
        <v>1</v>
      </c>
      <c r="I121" s="14" t="n">
        <v>2200</v>
      </c>
      <c r="J121" s="15" t="n">
        <v>0.99</v>
      </c>
      <c r="K121" s="15" t="n">
        <v>1</v>
      </c>
      <c r="L121" s="15" t="inlineStr">
        <is>
          <t>Balanced</t>
        </is>
      </c>
      <c r="M121" s="15">
        <f>IFERROR((F121-E121)/E121*100,0)</f>
        <v/>
      </c>
      <c r="N121" s="14">
        <f>F121-I121</f>
        <v/>
      </c>
      <c r="O121" s="14" t="n"/>
    </row>
    <row r="122">
      <c r="A122" t="inlineStr">
        <is>
          <t>CON-121</t>
        </is>
      </c>
      <c r="B122" t="inlineStr">
        <is>
          <t>Bihar</t>
        </is>
      </c>
      <c r="C122" t="inlineStr">
        <is>
          <t>Bihar_Dist_121</t>
        </is>
      </c>
      <c r="D122" t="inlineStr">
        <is>
          <t>General</t>
        </is>
      </c>
      <c r="E122" s="14" t="n">
        <v>1848</v>
      </c>
      <c r="F122" s="14" t="n">
        <v>2676</v>
      </c>
      <c r="G122" s="15" t="n">
        <v>67.69</v>
      </c>
      <c r="H122" t="n">
        <v>1</v>
      </c>
      <c r="I122" s="14" t="n">
        <v>2200</v>
      </c>
      <c r="J122" s="15" t="n">
        <v>1.22</v>
      </c>
      <c r="K122" s="15" t="n">
        <v>22</v>
      </c>
      <c r="L122" s="15" t="inlineStr">
        <is>
          <t>Balanced</t>
        </is>
      </c>
      <c r="M122" s="15">
        <f>IFERROR((F122-E122)/E122*100,0)</f>
        <v/>
      </c>
      <c r="N122" s="14">
        <f>F122-I122</f>
        <v/>
      </c>
      <c r="O122" s="14" t="n"/>
    </row>
    <row r="123">
      <c r="A123" t="inlineStr">
        <is>
          <t>CON-122</t>
        </is>
      </c>
      <c r="B123" t="inlineStr">
        <is>
          <t>Bihar</t>
        </is>
      </c>
      <c r="C123" t="inlineStr">
        <is>
          <t>Bihar_Dist_122</t>
        </is>
      </c>
      <c r="D123" t="inlineStr">
        <is>
          <t>General</t>
        </is>
      </c>
      <c r="E123" s="14" t="n">
        <v>1873</v>
      </c>
      <c r="F123" s="14" t="n">
        <v>2477</v>
      </c>
      <c r="G123" s="15" t="n">
        <v>58.64</v>
      </c>
      <c r="H123" t="n">
        <v>1</v>
      </c>
      <c r="I123" s="14" t="n">
        <v>2200</v>
      </c>
      <c r="J123" s="15" t="n">
        <v>1.13</v>
      </c>
      <c r="K123" s="15" t="n">
        <v>13</v>
      </c>
      <c r="L123" s="15" t="inlineStr">
        <is>
          <t>Balanced</t>
        </is>
      </c>
      <c r="M123" s="15">
        <f>IFERROR((F123-E123)/E123*100,0)</f>
        <v/>
      </c>
      <c r="N123" s="14">
        <f>F123-I123</f>
        <v/>
      </c>
      <c r="O123" s="14" t="n"/>
    </row>
    <row r="124">
      <c r="A124" t="inlineStr">
        <is>
          <t>CON-123</t>
        </is>
      </c>
      <c r="B124" t="inlineStr">
        <is>
          <t>Gujarat</t>
        </is>
      </c>
      <c r="C124" t="inlineStr">
        <is>
          <t>Gujarat_Dist_123</t>
        </is>
      </c>
      <c r="D124" t="inlineStr">
        <is>
          <t>General</t>
        </is>
      </c>
      <c r="E124" s="14" t="n">
        <v>3241</v>
      </c>
      <c r="F124" s="14" t="n">
        <v>4097</v>
      </c>
      <c r="G124" s="15" t="n">
        <v>82.81</v>
      </c>
      <c r="H124" t="n">
        <v>1</v>
      </c>
      <c r="I124" s="14" t="n">
        <v>2200</v>
      </c>
      <c r="J124" s="15" t="n">
        <v>1.86</v>
      </c>
      <c r="K124" s="15" t="n">
        <v>86</v>
      </c>
      <c r="L124" s="15" t="inlineStr">
        <is>
          <t>Under-represented</t>
        </is>
      </c>
      <c r="M124" s="15">
        <f>IFERROR((F124-E124)/E124*100,0)</f>
        <v/>
      </c>
      <c r="N124" s="14">
        <f>F124-I124</f>
        <v/>
      </c>
      <c r="O124" s="14" t="n"/>
    </row>
    <row r="125">
      <c r="A125" t="inlineStr">
        <is>
          <t>CON-124</t>
        </is>
      </c>
      <c r="B125" t="inlineStr">
        <is>
          <t>Karnataka</t>
        </is>
      </c>
      <c r="C125" t="inlineStr">
        <is>
          <t>Karnataka_Dist_124</t>
        </is>
      </c>
      <c r="D125" t="inlineStr">
        <is>
          <t>General</t>
        </is>
      </c>
      <c r="E125" s="14" t="n">
        <v>1820</v>
      </c>
      <c r="F125" s="14" t="n">
        <v>2945</v>
      </c>
      <c r="G125" s="15" t="n">
        <v>53.28</v>
      </c>
      <c r="H125" t="n">
        <v>1</v>
      </c>
      <c r="I125" s="14" t="n">
        <v>2200</v>
      </c>
      <c r="J125" s="15" t="n">
        <v>1.34</v>
      </c>
      <c r="K125" s="15" t="n">
        <v>34</v>
      </c>
      <c r="L125" s="15" t="inlineStr">
        <is>
          <t>Under-represented</t>
        </is>
      </c>
      <c r="M125" s="15">
        <f>IFERROR((F125-E125)/E125*100,0)</f>
        <v/>
      </c>
      <c r="N125" s="14">
        <f>F125-I125</f>
        <v/>
      </c>
      <c r="O125" s="14" t="n"/>
    </row>
    <row r="126">
      <c r="A126" t="inlineStr">
        <is>
          <t>CON-125</t>
        </is>
      </c>
      <c r="B126" t="inlineStr">
        <is>
          <t>Bihar</t>
        </is>
      </c>
      <c r="C126" t="inlineStr">
        <is>
          <t>Bihar_Dist_125</t>
        </is>
      </c>
      <c r="D126" t="inlineStr">
        <is>
          <t>General</t>
        </is>
      </c>
      <c r="E126" s="14" t="n">
        <v>2759</v>
      </c>
      <c r="F126" s="14" t="n">
        <v>3520</v>
      </c>
      <c r="G126" s="15" t="n">
        <v>59.75</v>
      </c>
      <c r="H126" t="n">
        <v>1</v>
      </c>
      <c r="I126" s="14" t="n">
        <v>2200</v>
      </c>
      <c r="J126" s="15" t="n">
        <v>1.6</v>
      </c>
      <c r="K126" s="15" t="n">
        <v>60</v>
      </c>
      <c r="L126" s="15" t="inlineStr">
        <is>
          <t>Under-represented</t>
        </is>
      </c>
      <c r="M126" s="15">
        <f>IFERROR((F126-E126)/E126*100,0)</f>
        <v/>
      </c>
      <c r="N126" s="14">
        <f>F126-I126</f>
        <v/>
      </c>
      <c r="O126" s="14" t="n"/>
    </row>
    <row r="127">
      <c r="A127" t="inlineStr">
        <is>
          <t>CON-126</t>
        </is>
      </c>
      <c r="B127" t="inlineStr">
        <is>
          <t>Kerala</t>
        </is>
      </c>
      <c r="C127" t="inlineStr">
        <is>
          <t>Kerala_Dist_126</t>
        </is>
      </c>
      <c r="D127" t="inlineStr">
        <is>
          <t>General</t>
        </is>
      </c>
      <c r="E127" s="14" t="n">
        <v>3070</v>
      </c>
      <c r="F127" s="14" t="n">
        <v>4330</v>
      </c>
      <c r="G127" s="15" t="n">
        <v>65.64</v>
      </c>
      <c r="H127" t="n">
        <v>1</v>
      </c>
      <c r="I127" s="14" t="n">
        <v>2200</v>
      </c>
      <c r="J127" s="15" t="n">
        <v>1.97</v>
      </c>
      <c r="K127" s="15" t="n">
        <v>97</v>
      </c>
      <c r="L127" s="15" t="inlineStr">
        <is>
          <t>Under-represented</t>
        </is>
      </c>
      <c r="M127" s="15">
        <f>IFERROR((F127-E127)/E127*100,0)</f>
        <v/>
      </c>
      <c r="N127" s="14">
        <f>F127-I127</f>
        <v/>
      </c>
      <c r="O127" s="14" t="n"/>
    </row>
    <row r="128">
      <c r="A128" t="inlineStr">
        <is>
          <t>CON-127</t>
        </is>
      </c>
      <c r="B128" t="inlineStr">
        <is>
          <t>Kerala</t>
        </is>
      </c>
      <c r="C128" t="inlineStr">
        <is>
          <t>Kerala_Dist_127</t>
        </is>
      </c>
      <c r="D128" t="inlineStr">
        <is>
          <t>SC</t>
        </is>
      </c>
      <c r="E128" s="14" t="n">
        <v>3148</v>
      </c>
      <c r="F128" s="14" t="n">
        <v>5302</v>
      </c>
      <c r="G128" s="15" t="n">
        <v>54.24</v>
      </c>
      <c r="H128" t="n">
        <v>1</v>
      </c>
      <c r="I128" s="14" t="n">
        <v>2200</v>
      </c>
      <c r="J128" s="15" t="n">
        <v>2.41</v>
      </c>
      <c r="K128" s="15" t="n">
        <v>141</v>
      </c>
      <c r="L128" s="15" t="inlineStr">
        <is>
          <t>Under-represented</t>
        </is>
      </c>
      <c r="M128" s="15">
        <f>IFERROR((F128-E128)/E128*100,0)</f>
        <v/>
      </c>
      <c r="N128" s="14">
        <f>F128-I128</f>
        <v/>
      </c>
      <c r="O128" s="14" t="n"/>
    </row>
    <row r="129">
      <c r="A129" t="inlineStr">
        <is>
          <t>CON-128</t>
        </is>
      </c>
      <c r="B129" t="inlineStr">
        <is>
          <t>Maharashtra</t>
        </is>
      </c>
      <c r="C129" t="inlineStr">
        <is>
          <t>Maharashtra_Dist_128</t>
        </is>
      </c>
      <c r="D129" t="inlineStr">
        <is>
          <t>General</t>
        </is>
      </c>
      <c r="E129" s="14" t="n">
        <v>3220</v>
      </c>
      <c r="F129" s="14" t="n">
        <v>4452</v>
      </c>
      <c r="G129" s="15" t="n">
        <v>67.42</v>
      </c>
      <c r="H129" t="n">
        <v>1</v>
      </c>
      <c r="I129" s="14" t="n">
        <v>2200</v>
      </c>
      <c r="J129" s="15" t="n">
        <v>2.02</v>
      </c>
      <c r="K129" s="15" t="n">
        <v>102</v>
      </c>
      <c r="L129" s="15" t="inlineStr">
        <is>
          <t>Under-represented</t>
        </is>
      </c>
      <c r="M129" s="15">
        <f>IFERROR((F129-E129)/E129*100,0)</f>
        <v/>
      </c>
      <c r="N129" s="14">
        <f>F129-I129</f>
        <v/>
      </c>
      <c r="O129" s="14" t="n"/>
    </row>
    <row r="130">
      <c r="A130" t="inlineStr">
        <is>
          <t>CON-129</t>
        </is>
      </c>
      <c r="B130" t="inlineStr">
        <is>
          <t>Kerala</t>
        </is>
      </c>
      <c r="C130" t="inlineStr">
        <is>
          <t>Kerala_Dist_129</t>
        </is>
      </c>
      <c r="D130" t="inlineStr">
        <is>
          <t>General</t>
        </is>
      </c>
      <c r="E130" s="14" t="n">
        <v>2632</v>
      </c>
      <c r="F130" s="14" t="n">
        <v>4407</v>
      </c>
      <c r="G130" s="15" t="n">
        <v>77.19</v>
      </c>
      <c r="H130" t="n">
        <v>1</v>
      </c>
      <c r="I130" s="14" t="n">
        <v>2200</v>
      </c>
      <c r="J130" s="15" t="n">
        <v>2</v>
      </c>
      <c r="K130" s="15" t="n">
        <v>100</v>
      </c>
      <c r="L130" s="15" t="inlineStr">
        <is>
          <t>Under-represented</t>
        </is>
      </c>
      <c r="M130" s="15">
        <f>IFERROR((F130-E130)/E130*100,0)</f>
        <v/>
      </c>
      <c r="N130" s="14">
        <f>F130-I130</f>
        <v/>
      </c>
      <c r="O130" s="14" t="n"/>
    </row>
    <row r="131">
      <c r="A131" t="inlineStr">
        <is>
          <t>CON-130</t>
        </is>
      </c>
      <c r="B131" t="inlineStr">
        <is>
          <t>Karnataka</t>
        </is>
      </c>
      <c r="C131" t="inlineStr">
        <is>
          <t>Karnataka_Dist_130</t>
        </is>
      </c>
      <c r="D131" t="inlineStr">
        <is>
          <t>SC</t>
        </is>
      </c>
      <c r="E131" s="14" t="n">
        <v>2682</v>
      </c>
      <c r="F131" s="14" t="n">
        <v>4530</v>
      </c>
      <c r="G131" s="15" t="n">
        <v>71.38</v>
      </c>
      <c r="H131" t="n">
        <v>1</v>
      </c>
      <c r="I131" s="14" t="n">
        <v>2200</v>
      </c>
      <c r="J131" s="15" t="n">
        <v>2.06</v>
      </c>
      <c r="K131" s="15" t="n">
        <v>106</v>
      </c>
      <c r="L131" s="15" t="inlineStr">
        <is>
          <t>Under-represented</t>
        </is>
      </c>
      <c r="M131" s="15">
        <f>IFERROR((F131-E131)/E131*100,0)</f>
        <v/>
      </c>
      <c r="N131" s="14">
        <f>F131-I131</f>
        <v/>
      </c>
      <c r="O131" s="14" t="n"/>
    </row>
    <row r="132">
      <c r="A132" t="inlineStr">
        <is>
          <t>CON-131</t>
        </is>
      </c>
      <c r="B132" t="inlineStr">
        <is>
          <t>Maharashtra</t>
        </is>
      </c>
      <c r="C132" t="inlineStr">
        <is>
          <t>Maharashtra_Dist_131</t>
        </is>
      </c>
      <c r="D132" t="inlineStr">
        <is>
          <t>General</t>
        </is>
      </c>
      <c r="E132" s="14" t="n">
        <v>1264</v>
      </c>
      <c r="F132" s="14" t="n">
        <v>1733</v>
      </c>
      <c r="G132" s="15" t="n">
        <v>57.52</v>
      </c>
      <c r="H132" t="n">
        <v>1</v>
      </c>
      <c r="I132" s="14" t="n">
        <v>2200</v>
      </c>
      <c r="J132" s="15" t="n">
        <v>0.79</v>
      </c>
      <c r="K132" s="15" t="n">
        <v>21</v>
      </c>
      <c r="L132" s="15" t="inlineStr">
        <is>
          <t>Over-represented</t>
        </is>
      </c>
      <c r="M132" s="15">
        <f>IFERROR((F132-E132)/E132*100,0)</f>
        <v/>
      </c>
      <c r="N132" s="14">
        <f>F132-I132</f>
        <v/>
      </c>
      <c r="O132" s="14" t="n"/>
    </row>
    <row r="133">
      <c r="A133" t="inlineStr">
        <is>
          <t>CON-132</t>
        </is>
      </c>
      <c r="B133" t="inlineStr">
        <is>
          <t>Bihar</t>
        </is>
      </c>
      <c r="C133" t="inlineStr">
        <is>
          <t>Bihar_Dist_132</t>
        </is>
      </c>
      <c r="D133" t="inlineStr">
        <is>
          <t>General</t>
        </is>
      </c>
      <c r="E133" s="14" t="n">
        <v>3564</v>
      </c>
      <c r="F133" s="14" t="n">
        <v>4837</v>
      </c>
      <c r="G133" s="15" t="n">
        <v>55.06</v>
      </c>
      <c r="H133" t="n">
        <v>1</v>
      </c>
      <c r="I133" s="14" t="n">
        <v>2200</v>
      </c>
      <c r="J133" s="15" t="n">
        <v>2.2</v>
      </c>
      <c r="K133" s="15" t="n">
        <v>120</v>
      </c>
      <c r="L133" s="15" t="inlineStr">
        <is>
          <t>Under-represented</t>
        </is>
      </c>
      <c r="M133" s="15">
        <f>IFERROR((F133-E133)/E133*100,0)</f>
        <v/>
      </c>
      <c r="N133" s="14">
        <f>F133-I133</f>
        <v/>
      </c>
      <c r="O133" s="14" t="n"/>
    </row>
    <row r="134">
      <c r="A134" t="inlineStr">
        <is>
          <t>CON-133</t>
        </is>
      </c>
      <c r="B134" t="inlineStr">
        <is>
          <t>Andhra Pradesh</t>
        </is>
      </c>
      <c r="C134" t="inlineStr">
        <is>
          <t>Andhra_Dist_133</t>
        </is>
      </c>
      <c r="D134" t="inlineStr">
        <is>
          <t>General</t>
        </is>
      </c>
      <c r="E134" s="14" t="n">
        <v>1775</v>
      </c>
      <c r="F134" s="14" t="n">
        <v>2771</v>
      </c>
      <c r="G134" s="15" t="n">
        <v>80.37</v>
      </c>
      <c r="H134" t="n">
        <v>1</v>
      </c>
      <c r="I134" s="14" t="n">
        <v>2200</v>
      </c>
      <c r="J134" s="15" t="n">
        <v>1.26</v>
      </c>
      <c r="K134" s="15" t="n">
        <v>26</v>
      </c>
      <c r="L134" s="15" t="inlineStr">
        <is>
          <t>Under-represented</t>
        </is>
      </c>
      <c r="M134" s="15">
        <f>IFERROR((F134-E134)/E134*100,0)</f>
        <v/>
      </c>
      <c r="N134" s="14">
        <f>F134-I134</f>
        <v/>
      </c>
      <c r="O134" s="14" t="n"/>
    </row>
    <row r="135">
      <c r="A135" t="inlineStr">
        <is>
          <t>CON-134</t>
        </is>
      </c>
      <c r="B135" t="inlineStr">
        <is>
          <t>Bihar</t>
        </is>
      </c>
      <c r="C135" t="inlineStr">
        <is>
          <t>Bihar_Dist_134</t>
        </is>
      </c>
      <c r="D135" t="inlineStr">
        <is>
          <t>General</t>
        </is>
      </c>
      <c r="E135" s="14" t="n">
        <v>3726</v>
      </c>
      <c r="F135" s="14" t="n">
        <v>6335</v>
      </c>
      <c r="G135" s="15" t="n">
        <v>74.76000000000001</v>
      </c>
      <c r="H135" t="n">
        <v>1</v>
      </c>
      <c r="I135" s="14" t="n">
        <v>2200</v>
      </c>
      <c r="J135" s="15" t="n">
        <v>2.88</v>
      </c>
      <c r="K135" s="15" t="n">
        <v>188</v>
      </c>
      <c r="L135" s="15" t="inlineStr">
        <is>
          <t>Under-represented</t>
        </is>
      </c>
      <c r="M135" s="15">
        <f>IFERROR((F135-E135)/E135*100,0)</f>
        <v/>
      </c>
      <c r="N135" s="14">
        <f>F135-I135</f>
        <v/>
      </c>
      <c r="O135" s="14" t="n"/>
    </row>
    <row r="136">
      <c r="A136" t="inlineStr">
        <is>
          <t>CON-135</t>
        </is>
      </c>
      <c r="B136" t="inlineStr">
        <is>
          <t>Gujarat</t>
        </is>
      </c>
      <c r="C136" t="inlineStr">
        <is>
          <t>Gujarat_Dist_135</t>
        </is>
      </c>
      <c r="D136" t="inlineStr">
        <is>
          <t>General</t>
        </is>
      </c>
      <c r="E136" s="14" t="n">
        <v>2522</v>
      </c>
      <c r="F136" s="14" t="n">
        <v>3266</v>
      </c>
      <c r="G136" s="15" t="n">
        <v>65.66</v>
      </c>
      <c r="H136" t="n">
        <v>1</v>
      </c>
      <c r="I136" s="14" t="n">
        <v>2200</v>
      </c>
      <c r="J136" s="15" t="n">
        <v>1.48</v>
      </c>
      <c r="K136" s="15" t="n">
        <v>48</v>
      </c>
      <c r="L136" s="15" t="inlineStr">
        <is>
          <t>Under-represented</t>
        </is>
      </c>
      <c r="M136" s="15">
        <f>IFERROR((F136-E136)/E136*100,0)</f>
        <v/>
      </c>
      <c r="N136" s="14">
        <f>F136-I136</f>
        <v/>
      </c>
      <c r="O136" s="14" t="n"/>
    </row>
    <row r="137">
      <c r="A137" t="inlineStr">
        <is>
          <t>CON-136</t>
        </is>
      </c>
      <c r="B137" t="inlineStr">
        <is>
          <t>Andhra Pradesh</t>
        </is>
      </c>
      <c r="C137" t="inlineStr">
        <is>
          <t>Andhra_Dist_136</t>
        </is>
      </c>
      <c r="D137" t="inlineStr">
        <is>
          <t>General</t>
        </is>
      </c>
      <c r="E137" s="14" t="n">
        <v>2446</v>
      </c>
      <c r="F137" s="14" t="n">
        <v>4154</v>
      </c>
      <c r="G137" s="15" t="n">
        <v>57.95</v>
      </c>
      <c r="H137" t="n">
        <v>1</v>
      </c>
      <c r="I137" s="14" t="n">
        <v>2200</v>
      </c>
      <c r="J137" s="15" t="n">
        <v>1.89</v>
      </c>
      <c r="K137" s="15" t="n">
        <v>89</v>
      </c>
      <c r="L137" s="15" t="inlineStr">
        <is>
          <t>Under-represented</t>
        </is>
      </c>
      <c r="M137" s="15">
        <f>IFERROR((F137-E137)/E137*100,0)</f>
        <v/>
      </c>
      <c r="N137" s="14">
        <f>F137-I137</f>
        <v/>
      </c>
      <c r="O137" s="14" t="n"/>
    </row>
    <row r="138">
      <c r="A138" t="inlineStr">
        <is>
          <t>CON-137</t>
        </is>
      </c>
      <c r="B138" t="inlineStr">
        <is>
          <t>Bihar</t>
        </is>
      </c>
      <c r="C138" t="inlineStr">
        <is>
          <t>Bihar_Dist_137</t>
        </is>
      </c>
      <c r="D138" t="inlineStr">
        <is>
          <t>General</t>
        </is>
      </c>
      <c r="E138" s="14" t="n">
        <v>2177</v>
      </c>
      <c r="F138" s="14" t="n">
        <v>3073</v>
      </c>
      <c r="G138" s="15" t="n">
        <v>64.87</v>
      </c>
      <c r="H138" t="n">
        <v>1</v>
      </c>
      <c r="I138" s="14" t="n">
        <v>2200</v>
      </c>
      <c r="J138" s="15" t="n">
        <v>1.4</v>
      </c>
      <c r="K138" s="15" t="n">
        <v>40</v>
      </c>
      <c r="L138" s="15" t="inlineStr">
        <is>
          <t>Under-represented</t>
        </is>
      </c>
      <c r="M138" s="15">
        <f>IFERROR((F138-E138)/E138*100,0)</f>
        <v/>
      </c>
      <c r="N138" s="14">
        <f>F138-I138</f>
        <v/>
      </c>
      <c r="O138" s="14" t="n"/>
    </row>
    <row r="139">
      <c r="A139" t="inlineStr">
        <is>
          <t>CON-138</t>
        </is>
      </c>
      <c r="B139" t="inlineStr">
        <is>
          <t>Tamil Nadu</t>
        </is>
      </c>
      <c r="C139" t="inlineStr">
        <is>
          <t>Tamil_Dist_138</t>
        </is>
      </c>
      <c r="D139" t="inlineStr">
        <is>
          <t>General</t>
        </is>
      </c>
      <c r="E139" s="14" t="n">
        <v>2124</v>
      </c>
      <c r="F139" s="14" t="n">
        <v>2844</v>
      </c>
      <c r="G139" s="15" t="n">
        <v>75.31</v>
      </c>
      <c r="H139" t="n">
        <v>1</v>
      </c>
      <c r="I139" s="14" t="n">
        <v>2200</v>
      </c>
      <c r="J139" s="15" t="n">
        <v>1.29</v>
      </c>
      <c r="K139" s="15" t="n">
        <v>29</v>
      </c>
      <c r="L139" s="15" t="inlineStr">
        <is>
          <t>Under-represented</t>
        </is>
      </c>
      <c r="M139" s="15">
        <f>IFERROR((F139-E139)/E139*100,0)</f>
        <v/>
      </c>
      <c r="N139" s="14">
        <f>F139-I139</f>
        <v/>
      </c>
      <c r="O139" s="14" t="n"/>
    </row>
    <row r="140">
      <c r="A140" t="inlineStr">
        <is>
          <t>CON-139</t>
        </is>
      </c>
      <c r="B140" t="inlineStr">
        <is>
          <t>West Bengal</t>
        </is>
      </c>
      <c r="C140" t="inlineStr">
        <is>
          <t>West_Dist_139</t>
        </is>
      </c>
      <c r="D140" t="inlineStr">
        <is>
          <t>General</t>
        </is>
      </c>
      <c r="E140" s="14" t="n">
        <v>2720</v>
      </c>
      <c r="F140" s="14" t="n">
        <v>3597</v>
      </c>
      <c r="G140" s="15" t="n">
        <v>72.15000000000001</v>
      </c>
      <c r="H140" t="n">
        <v>1</v>
      </c>
      <c r="I140" s="14" t="n">
        <v>2200</v>
      </c>
      <c r="J140" s="15" t="n">
        <v>1.64</v>
      </c>
      <c r="K140" s="15" t="n">
        <v>64</v>
      </c>
      <c r="L140" s="15" t="inlineStr">
        <is>
          <t>Under-represented</t>
        </is>
      </c>
      <c r="M140" s="15">
        <f>IFERROR((F140-E140)/E140*100,0)</f>
        <v/>
      </c>
      <c r="N140" s="14">
        <f>F140-I140</f>
        <v/>
      </c>
      <c r="O140" s="14" t="n"/>
    </row>
    <row r="141">
      <c r="A141" t="inlineStr">
        <is>
          <t>CON-140</t>
        </is>
      </c>
      <c r="B141" t="inlineStr">
        <is>
          <t>Telangana</t>
        </is>
      </c>
      <c r="C141" t="inlineStr">
        <is>
          <t>Telangana_Dist_140</t>
        </is>
      </c>
      <c r="D141" t="inlineStr">
        <is>
          <t>General</t>
        </is>
      </c>
      <c r="E141" s="14" t="n">
        <v>3658</v>
      </c>
      <c r="F141" s="14" t="n">
        <v>4867</v>
      </c>
      <c r="G141" s="15" t="n">
        <v>71.58</v>
      </c>
      <c r="H141" t="n">
        <v>1</v>
      </c>
      <c r="I141" s="14" t="n">
        <v>2200</v>
      </c>
      <c r="J141" s="15" t="n">
        <v>2.21</v>
      </c>
      <c r="K141" s="15" t="n">
        <v>121</v>
      </c>
      <c r="L141" s="15" t="inlineStr">
        <is>
          <t>Under-represented</t>
        </is>
      </c>
      <c r="M141" s="15">
        <f>IFERROR((F141-E141)/E141*100,0)</f>
        <v/>
      </c>
      <c r="N141" s="14">
        <f>F141-I141</f>
        <v/>
      </c>
      <c r="O141" s="14" t="n"/>
    </row>
    <row r="142">
      <c r="A142" t="inlineStr">
        <is>
          <t>CON-141</t>
        </is>
      </c>
      <c r="B142" t="inlineStr">
        <is>
          <t>Maharashtra</t>
        </is>
      </c>
      <c r="C142" t="inlineStr">
        <is>
          <t>Maharashtra_Dist_141</t>
        </is>
      </c>
      <c r="D142" t="inlineStr">
        <is>
          <t>General</t>
        </is>
      </c>
      <c r="E142" s="14" t="n">
        <v>2642</v>
      </c>
      <c r="F142" s="14" t="n">
        <v>3945</v>
      </c>
      <c r="G142" s="15" t="n">
        <v>55.42</v>
      </c>
      <c r="H142" t="n">
        <v>1</v>
      </c>
      <c r="I142" s="14" t="n">
        <v>2200</v>
      </c>
      <c r="J142" s="15" t="n">
        <v>1.79</v>
      </c>
      <c r="K142" s="15" t="n">
        <v>79</v>
      </c>
      <c r="L142" s="15" t="inlineStr">
        <is>
          <t>Under-represented</t>
        </is>
      </c>
      <c r="M142" s="15">
        <f>IFERROR((F142-E142)/E142*100,0)</f>
        <v/>
      </c>
      <c r="N142" s="14">
        <f>F142-I142</f>
        <v/>
      </c>
      <c r="O142" s="14" t="n"/>
    </row>
    <row r="143">
      <c r="A143" t="inlineStr">
        <is>
          <t>CON-142</t>
        </is>
      </c>
      <c r="B143" t="inlineStr">
        <is>
          <t>Uttar Pradesh</t>
        </is>
      </c>
      <c r="C143" t="inlineStr">
        <is>
          <t>Uttar_Dist_142</t>
        </is>
      </c>
      <c r="D143" t="inlineStr">
        <is>
          <t>General</t>
        </is>
      </c>
      <c r="E143" s="14" t="n">
        <v>2982</v>
      </c>
      <c r="F143" s="14" t="n">
        <v>4974</v>
      </c>
      <c r="G143" s="15" t="n">
        <v>64.08</v>
      </c>
      <c r="H143" t="n">
        <v>1</v>
      </c>
      <c r="I143" s="14" t="n">
        <v>2200</v>
      </c>
      <c r="J143" s="15" t="n">
        <v>2.26</v>
      </c>
      <c r="K143" s="15" t="n">
        <v>126</v>
      </c>
      <c r="L143" s="15" t="inlineStr">
        <is>
          <t>Under-represented</t>
        </is>
      </c>
      <c r="M143" s="15">
        <f>IFERROR((F143-E143)/E143*100,0)</f>
        <v/>
      </c>
      <c r="N143" s="14">
        <f>F143-I143</f>
        <v/>
      </c>
      <c r="O143" s="14" t="n"/>
    </row>
    <row r="144">
      <c r="A144" t="inlineStr">
        <is>
          <t>CON-143</t>
        </is>
      </c>
      <c r="B144" t="inlineStr">
        <is>
          <t>Tamil Nadu</t>
        </is>
      </c>
      <c r="C144" t="inlineStr">
        <is>
          <t>Tamil_Dist_143</t>
        </is>
      </c>
      <c r="D144" t="inlineStr">
        <is>
          <t>General</t>
        </is>
      </c>
      <c r="E144" s="14" t="n">
        <v>3218</v>
      </c>
      <c r="F144" s="14" t="n">
        <v>4648</v>
      </c>
      <c r="G144" s="15" t="n">
        <v>75.56</v>
      </c>
      <c r="H144" t="n">
        <v>1</v>
      </c>
      <c r="I144" s="14" t="n">
        <v>2200</v>
      </c>
      <c r="J144" s="15" t="n">
        <v>2.11</v>
      </c>
      <c r="K144" s="15" t="n">
        <v>111</v>
      </c>
      <c r="L144" s="15" t="inlineStr">
        <is>
          <t>Under-represented</t>
        </is>
      </c>
      <c r="M144" s="15">
        <f>IFERROR((F144-E144)/E144*100,0)</f>
        <v/>
      </c>
      <c r="N144" s="14">
        <f>F144-I144</f>
        <v/>
      </c>
      <c r="O144" s="14" t="n"/>
    </row>
    <row r="145">
      <c r="A145" t="inlineStr">
        <is>
          <t>CON-144</t>
        </is>
      </c>
      <c r="B145" t="inlineStr">
        <is>
          <t>Gujarat</t>
        </is>
      </c>
      <c r="C145" t="inlineStr">
        <is>
          <t>Gujarat_Dist_144</t>
        </is>
      </c>
      <c r="D145" t="inlineStr">
        <is>
          <t>General</t>
        </is>
      </c>
      <c r="E145" s="14" t="n">
        <v>3566</v>
      </c>
      <c r="F145" s="14" t="n">
        <v>5616</v>
      </c>
      <c r="G145" s="15" t="n">
        <v>77.44</v>
      </c>
      <c r="H145" t="n">
        <v>1</v>
      </c>
      <c r="I145" s="14" t="n">
        <v>2200</v>
      </c>
      <c r="J145" s="15" t="n">
        <v>2.55</v>
      </c>
      <c r="K145" s="15" t="n">
        <v>155</v>
      </c>
      <c r="L145" s="15" t="inlineStr">
        <is>
          <t>Under-represented</t>
        </is>
      </c>
      <c r="M145" s="15">
        <f>IFERROR((F145-E145)/E145*100,0)</f>
        <v/>
      </c>
      <c r="N145" s="14">
        <f>F145-I145</f>
        <v/>
      </c>
      <c r="O145" s="14" t="n"/>
    </row>
    <row r="146">
      <c r="A146" t="inlineStr">
        <is>
          <t>CON-145</t>
        </is>
      </c>
      <c r="B146" t="inlineStr">
        <is>
          <t>Maharashtra</t>
        </is>
      </c>
      <c r="C146" t="inlineStr">
        <is>
          <t>Maharashtra_Dist_145</t>
        </is>
      </c>
      <c r="D146" t="inlineStr">
        <is>
          <t>General</t>
        </is>
      </c>
      <c r="E146" s="14" t="n">
        <v>3336</v>
      </c>
      <c r="F146" s="14" t="n">
        <v>5768</v>
      </c>
      <c r="G146" s="15" t="n">
        <v>53.82</v>
      </c>
      <c r="H146" t="n">
        <v>1</v>
      </c>
      <c r="I146" s="14" t="n">
        <v>2200</v>
      </c>
      <c r="J146" s="15" t="n">
        <v>2.62</v>
      </c>
      <c r="K146" s="15" t="n">
        <v>162</v>
      </c>
      <c r="L146" s="15" t="inlineStr">
        <is>
          <t>Under-represented</t>
        </is>
      </c>
      <c r="M146" s="15">
        <f>IFERROR((F146-E146)/E146*100,0)</f>
        <v/>
      </c>
      <c r="N146" s="14">
        <f>F146-I146</f>
        <v/>
      </c>
      <c r="O146" s="14" t="n"/>
    </row>
    <row r="147">
      <c r="A147" t="inlineStr">
        <is>
          <t>CON-146</t>
        </is>
      </c>
      <c r="B147" t="inlineStr">
        <is>
          <t>West Bengal</t>
        </is>
      </c>
      <c r="C147" t="inlineStr">
        <is>
          <t>West_Dist_146</t>
        </is>
      </c>
      <c r="D147" t="inlineStr">
        <is>
          <t>SC</t>
        </is>
      </c>
      <c r="E147" s="14" t="n">
        <v>2599</v>
      </c>
      <c r="F147" s="14" t="n">
        <v>3449</v>
      </c>
      <c r="G147" s="15" t="n">
        <v>60.2</v>
      </c>
      <c r="H147" t="n">
        <v>1</v>
      </c>
      <c r="I147" s="14" t="n">
        <v>2200</v>
      </c>
      <c r="J147" s="15" t="n">
        <v>1.57</v>
      </c>
      <c r="K147" s="15" t="n">
        <v>57</v>
      </c>
      <c r="L147" s="15" t="inlineStr">
        <is>
          <t>Under-represented</t>
        </is>
      </c>
      <c r="M147" s="15">
        <f>IFERROR((F147-E147)/E147*100,0)</f>
        <v/>
      </c>
      <c r="N147" s="14">
        <f>F147-I147</f>
        <v/>
      </c>
      <c r="O147" s="14" t="n"/>
    </row>
    <row r="148">
      <c r="A148" t="inlineStr">
        <is>
          <t>CON-147</t>
        </is>
      </c>
      <c r="B148" t="inlineStr">
        <is>
          <t>Uttar Pradesh</t>
        </is>
      </c>
      <c r="C148" t="inlineStr">
        <is>
          <t>Uttar_Dist_147</t>
        </is>
      </c>
      <c r="D148" t="inlineStr">
        <is>
          <t>ST</t>
        </is>
      </c>
      <c r="E148" s="14" t="n">
        <v>2048</v>
      </c>
      <c r="F148" s="14" t="n">
        <v>2835</v>
      </c>
      <c r="G148" s="15" t="n">
        <v>63.99</v>
      </c>
      <c r="H148" t="n">
        <v>1</v>
      </c>
      <c r="I148" s="14" t="n">
        <v>2200</v>
      </c>
      <c r="J148" s="15" t="n">
        <v>1.29</v>
      </c>
      <c r="K148" s="15" t="n">
        <v>29</v>
      </c>
      <c r="L148" s="15" t="inlineStr">
        <is>
          <t>Under-represented</t>
        </is>
      </c>
      <c r="M148" s="15">
        <f>IFERROR((F148-E148)/E148*100,0)</f>
        <v/>
      </c>
      <c r="N148" s="14">
        <f>F148-I148</f>
        <v/>
      </c>
      <c r="O148" s="14" t="n"/>
    </row>
    <row r="149">
      <c r="A149" t="inlineStr">
        <is>
          <t>CON-148</t>
        </is>
      </c>
      <c r="B149" t="inlineStr">
        <is>
          <t>Bihar</t>
        </is>
      </c>
      <c r="C149" t="inlineStr">
        <is>
          <t>Bihar_Dist_148</t>
        </is>
      </c>
      <c r="D149" t="inlineStr">
        <is>
          <t>General</t>
        </is>
      </c>
      <c r="E149" s="14" t="n">
        <v>1471</v>
      </c>
      <c r="F149" s="14" t="n">
        <v>1899</v>
      </c>
      <c r="G149" s="15" t="n">
        <v>81.54000000000001</v>
      </c>
      <c r="H149" t="n">
        <v>1</v>
      </c>
      <c r="I149" s="14" t="n">
        <v>2200</v>
      </c>
      <c r="J149" s="15" t="n">
        <v>0.86</v>
      </c>
      <c r="K149" s="15" t="n">
        <v>14</v>
      </c>
      <c r="L149" s="15" t="inlineStr">
        <is>
          <t>Balanced</t>
        </is>
      </c>
      <c r="M149" s="15">
        <f>IFERROR((F149-E149)/E149*100,0)</f>
        <v/>
      </c>
      <c r="N149" s="14">
        <f>F149-I149</f>
        <v/>
      </c>
      <c r="O149" s="14" t="n"/>
    </row>
    <row r="150">
      <c r="A150" t="inlineStr">
        <is>
          <t>CON-149</t>
        </is>
      </c>
      <c r="B150" t="inlineStr">
        <is>
          <t>Telangana</t>
        </is>
      </c>
      <c r="C150" t="inlineStr">
        <is>
          <t>Telangana_Dist_149</t>
        </is>
      </c>
      <c r="D150" t="inlineStr">
        <is>
          <t>General</t>
        </is>
      </c>
      <c r="E150" s="14" t="n">
        <v>3401</v>
      </c>
      <c r="F150" s="14" t="n">
        <v>5739</v>
      </c>
      <c r="G150" s="15" t="n">
        <v>75.47</v>
      </c>
      <c r="H150" t="n">
        <v>1</v>
      </c>
      <c r="I150" s="14" t="n">
        <v>2200</v>
      </c>
      <c r="J150" s="15" t="n">
        <v>2.61</v>
      </c>
      <c r="K150" s="15" t="n">
        <v>161</v>
      </c>
      <c r="L150" s="15" t="inlineStr">
        <is>
          <t>Under-represented</t>
        </is>
      </c>
      <c r="M150" s="15">
        <f>IFERROR((F150-E150)/E150*100,0)</f>
        <v/>
      </c>
      <c r="N150" s="14">
        <f>F150-I150</f>
        <v/>
      </c>
      <c r="O150" s="14" t="n"/>
    </row>
    <row r="151">
      <c r="A151" t="inlineStr">
        <is>
          <t>CON-150</t>
        </is>
      </c>
      <c r="B151" t="inlineStr">
        <is>
          <t>Telangana</t>
        </is>
      </c>
      <c r="C151" t="inlineStr">
        <is>
          <t>Telangana_Dist_150</t>
        </is>
      </c>
      <c r="D151" t="inlineStr">
        <is>
          <t>SC</t>
        </is>
      </c>
      <c r="E151" s="14" t="n">
        <v>3485</v>
      </c>
      <c r="F151" s="14" t="n">
        <v>5422</v>
      </c>
      <c r="G151" s="15" t="n">
        <v>70.55</v>
      </c>
      <c r="H151" t="n">
        <v>1</v>
      </c>
      <c r="I151" s="14" t="n">
        <v>2200</v>
      </c>
      <c r="J151" s="15" t="n">
        <v>2.46</v>
      </c>
      <c r="K151" s="15" t="n">
        <v>146</v>
      </c>
      <c r="L151" s="15" t="inlineStr">
        <is>
          <t>Under-represented</t>
        </is>
      </c>
      <c r="M151" s="15">
        <f>IFERROR((F151-E151)/E151*100,0)</f>
        <v/>
      </c>
      <c r="N151" s="14">
        <f>F151-I151</f>
        <v/>
      </c>
      <c r="O151" s="14" t="n"/>
    </row>
    <row r="152">
      <c r="A152" t="inlineStr">
        <is>
          <t>CON-151</t>
        </is>
      </c>
      <c r="B152" t="inlineStr">
        <is>
          <t>Tamil Nadu</t>
        </is>
      </c>
      <c r="C152" t="inlineStr">
        <is>
          <t>Tamil_Dist_151</t>
        </is>
      </c>
      <c r="D152" t="inlineStr">
        <is>
          <t>General</t>
        </is>
      </c>
      <c r="E152" s="14" t="n">
        <v>1683</v>
      </c>
      <c r="F152" s="14" t="n">
        <v>2237</v>
      </c>
      <c r="G152" s="15" t="n">
        <v>65.27</v>
      </c>
      <c r="H152" t="n">
        <v>1</v>
      </c>
      <c r="I152" s="14" t="n">
        <v>2200</v>
      </c>
      <c r="J152" s="15" t="n">
        <v>1.02</v>
      </c>
      <c r="K152" s="15" t="n">
        <v>2</v>
      </c>
      <c r="L152" s="15" t="inlineStr">
        <is>
          <t>Balanced</t>
        </is>
      </c>
      <c r="M152" s="15">
        <f>IFERROR((F152-E152)/E152*100,0)</f>
        <v/>
      </c>
      <c r="N152" s="14">
        <f>F152-I152</f>
        <v/>
      </c>
      <c r="O152" s="14" t="n"/>
    </row>
    <row r="153">
      <c r="A153" t="inlineStr">
        <is>
          <t>CON-152</t>
        </is>
      </c>
      <c r="B153" t="inlineStr">
        <is>
          <t>Telangana</t>
        </is>
      </c>
      <c r="C153" t="inlineStr">
        <is>
          <t>Telangana_Dist_152</t>
        </is>
      </c>
      <c r="D153" t="inlineStr">
        <is>
          <t>General</t>
        </is>
      </c>
      <c r="E153" s="14" t="n">
        <v>1308</v>
      </c>
      <c r="F153" s="14" t="n">
        <v>2027</v>
      </c>
      <c r="G153" s="15" t="n">
        <v>83.52</v>
      </c>
      <c r="H153" t="n">
        <v>1</v>
      </c>
      <c r="I153" s="14" t="n">
        <v>2200</v>
      </c>
      <c r="J153" s="15" t="n">
        <v>0.92</v>
      </c>
      <c r="K153" s="15" t="n">
        <v>8</v>
      </c>
      <c r="L153" s="15" t="inlineStr">
        <is>
          <t>Balanced</t>
        </is>
      </c>
      <c r="M153" s="15">
        <f>IFERROR((F153-E153)/E153*100,0)</f>
        <v/>
      </c>
      <c r="N153" s="14">
        <f>F153-I153</f>
        <v/>
      </c>
      <c r="O153" s="14" t="n"/>
    </row>
    <row r="154">
      <c r="A154" t="inlineStr">
        <is>
          <t>CON-153</t>
        </is>
      </c>
      <c r="B154" t="inlineStr">
        <is>
          <t>Uttar Pradesh</t>
        </is>
      </c>
      <c r="C154" t="inlineStr">
        <is>
          <t>Uttar_Dist_153</t>
        </is>
      </c>
      <c r="D154" t="inlineStr">
        <is>
          <t>SC</t>
        </is>
      </c>
      <c r="E154" s="14" t="n">
        <v>2175</v>
      </c>
      <c r="F154" s="14" t="n">
        <v>3379</v>
      </c>
      <c r="G154" s="15" t="n">
        <v>60.3</v>
      </c>
      <c r="H154" t="n">
        <v>1</v>
      </c>
      <c r="I154" s="14" t="n">
        <v>2200</v>
      </c>
      <c r="J154" s="15" t="n">
        <v>1.54</v>
      </c>
      <c r="K154" s="15" t="n">
        <v>54</v>
      </c>
      <c r="L154" s="15" t="inlineStr">
        <is>
          <t>Under-represented</t>
        </is>
      </c>
      <c r="M154" s="15">
        <f>IFERROR((F154-E154)/E154*100,0)</f>
        <v/>
      </c>
      <c r="N154" s="14">
        <f>F154-I154</f>
        <v/>
      </c>
      <c r="O154" s="14" t="n"/>
    </row>
    <row r="155">
      <c r="A155" t="inlineStr">
        <is>
          <t>CON-154</t>
        </is>
      </c>
      <c r="B155" t="inlineStr">
        <is>
          <t>Uttar Pradesh</t>
        </is>
      </c>
      <c r="C155" t="inlineStr">
        <is>
          <t>Uttar_Dist_154</t>
        </is>
      </c>
      <c r="D155" t="inlineStr">
        <is>
          <t>General</t>
        </is>
      </c>
      <c r="E155" s="14" t="n">
        <v>2792</v>
      </c>
      <c r="F155" s="14" t="n">
        <v>3958</v>
      </c>
      <c r="G155" s="15" t="n">
        <v>83.03</v>
      </c>
      <c r="H155" t="n">
        <v>1</v>
      </c>
      <c r="I155" s="14" t="n">
        <v>2200</v>
      </c>
      <c r="J155" s="15" t="n">
        <v>1.8</v>
      </c>
      <c r="K155" s="15" t="n">
        <v>80</v>
      </c>
      <c r="L155" s="15" t="inlineStr">
        <is>
          <t>Under-represented</t>
        </is>
      </c>
      <c r="M155" s="15">
        <f>IFERROR((F155-E155)/E155*100,0)</f>
        <v/>
      </c>
      <c r="N155" s="14">
        <f>F155-I155</f>
        <v/>
      </c>
      <c r="O155" s="14" t="n"/>
    </row>
    <row r="156">
      <c r="A156" t="inlineStr">
        <is>
          <t>CON-155</t>
        </is>
      </c>
      <c r="B156" t="inlineStr">
        <is>
          <t>Gujarat</t>
        </is>
      </c>
      <c r="C156" t="inlineStr">
        <is>
          <t>Gujarat_Dist_155</t>
        </is>
      </c>
      <c r="D156" t="inlineStr">
        <is>
          <t>General</t>
        </is>
      </c>
      <c r="E156" s="14" t="n">
        <v>2191</v>
      </c>
      <c r="F156" s="14" t="n">
        <v>3625</v>
      </c>
      <c r="G156" s="15" t="n">
        <v>66.47</v>
      </c>
      <c r="H156" t="n">
        <v>1</v>
      </c>
      <c r="I156" s="14" t="n">
        <v>2200</v>
      </c>
      <c r="J156" s="15" t="n">
        <v>1.65</v>
      </c>
      <c r="K156" s="15" t="n">
        <v>65</v>
      </c>
      <c r="L156" s="15" t="inlineStr">
        <is>
          <t>Under-represented</t>
        </is>
      </c>
      <c r="M156" s="15">
        <f>IFERROR((F156-E156)/E156*100,0)</f>
        <v/>
      </c>
      <c r="N156" s="14">
        <f>F156-I156</f>
        <v/>
      </c>
      <c r="O156" s="14" t="n"/>
    </row>
    <row r="157">
      <c r="A157" t="inlineStr">
        <is>
          <t>CON-156</t>
        </is>
      </c>
      <c r="B157" t="inlineStr">
        <is>
          <t>West Bengal</t>
        </is>
      </c>
      <c r="C157" t="inlineStr">
        <is>
          <t>West_Dist_156</t>
        </is>
      </c>
      <c r="D157" t="inlineStr">
        <is>
          <t>General</t>
        </is>
      </c>
      <c r="E157" s="14" t="n">
        <v>1728</v>
      </c>
      <c r="F157" s="14" t="n">
        <v>2210</v>
      </c>
      <c r="G157" s="15" t="n">
        <v>57.49</v>
      </c>
      <c r="H157" t="n">
        <v>1</v>
      </c>
      <c r="I157" s="14" t="n">
        <v>2200</v>
      </c>
      <c r="J157" s="15" t="n">
        <v>1</v>
      </c>
      <c r="K157" s="15" t="n">
        <v>0</v>
      </c>
      <c r="L157" s="15" t="inlineStr">
        <is>
          <t>Balanced</t>
        </is>
      </c>
      <c r="M157" s="15">
        <f>IFERROR((F157-E157)/E157*100,0)</f>
        <v/>
      </c>
      <c r="N157" s="14">
        <f>F157-I157</f>
        <v/>
      </c>
      <c r="O157" s="14" t="n"/>
    </row>
    <row r="158">
      <c r="A158" t="inlineStr">
        <is>
          <t>CON-157</t>
        </is>
      </c>
      <c r="B158" t="inlineStr">
        <is>
          <t>Telangana</t>
        </is>
      </c>
      <c r="C158" t="inlineStr">
        <is>
          <t>Telangana_Dist_157</t>
        </is>
      </c>
      <c r="D158" t="inlineStr">
        <is>
          <t>ST</t>
        </is>
      </c>
      <c r="E158" s="14" t="n">
        <v>2388</v>
      </c>
      <c r="F158" s="14" t="n">
        <v>3531</v>
      </c>
      <c r="G158" s="15" t="n">
        <v>53.35</v>
      </c>
      <c r="H158" t="n">
        <v>1</v>
      </c>
      <c r="I158" s="14" t="n">
        <v>2200</v>
      </c>
      <c r="J158" s="15" t="n">
        <v>1.6</v>
      </c>
      <c r="K158" s="15" t="n">
        <v>60</v>
      </c>
      <c r="L158" s="15" t="inlineStr">
        <is>
          <t>Under-represented</t>
        </is>
      </c>
      <c r="M158" s="15">
        <f>IFERROR((F158-E158)/E158*100,0)</f>
        <v/>
      </c>
      <c r="N158" s="14">
        <f>F158-I158</f>
        <v/>
      </c>
      <c r="O158" s="14" t="n"/>
    </row>
    <row r="159">
      <c r="A159" t="inlineStr">
        <is>
          <t>CON-158</t>
        </is>
      </c>
      <c r="B159" t="inlineStr">
        <is>
          <t>Uttar Pradesh</t>
        </is>
      </c>
      <c r="C159" t="inlineStr">
        <is>
          <t>Uttar_Dist_158</t>
        </is>
      </c>
      <c r="D159" t="inlineStr">
        <is>
          <t>General</t>
        </is>
      </c>
      <c r="E159" s="14" t="n">
        <v>1302</v>
      </c>
      <c r="F159" s="14" t="n">
        <v>2207</v>
      </c>
      <c r="G159" s="15" t="n">
        <v>61.33</v>
      </c>
      <c r="H159" t="n">
        <v>1</v>
      </c>
      <c r="I159" s="14" t="n">
        <v>2200</v>
      </c>
      <c r="J159" s="15" t="n">
        <v>1</v>
      </c>
      <c r="K159" s="15" t="n">
        <v>0</v>
      </c>
      <c r="L159" s="15" t="inlineStr">
        <is>
          <t>Balanced</t>
        </is>
      </c>
      <c r="M159" s="15">
        <f>IFERROR((F159-E159)/E159*100,0)</f>
        <v/>
      </c>
      <c r="N159" s="14">
        <f>F159-I159</f>
        <v/>
      </c>
      <c r="O159" s="14" t="n"/>
    </row>
    <row r="160">
      <c r="A160" t="inlineStr">
        <is>
          <t>CON-159</t>
        </is>
      </c>
      <c r="B160" t="inlineStr">
        <is>
          <t>Uttar Pradesh</t>
        </is>
      </c>
      <c r="C160" t="inlineStr">
        <is>
          <t>Uttar_Dist_159</t>
        </is>
      </c>
      <c r="D160" t="inlineStr">
        <is>
          <t>General</t>
        </is>
      </c>
      <c r="E160" s="14" t="n">
        <v>3515</v>
      </c>
      <c r="F160" s="14" t="n">
        <v>5437</v>
      </c>
      <c r="G160" s="15" t="n">
        <v>66.55</v>
      </c>
      <c r="H160" t="n">
        <v>1</v>
      </c>
      <c r="I160" s="14" t="n">
        <v>2200</v>
      </c>
      <c r="J160" s="15" t="n">
        <v>2.47</v>
      </c>
      <c r="K160" s="15" t="n">
        <v>147</v>
      </c>
      <c r="L160" s="15" t="inlineStr">
        <is>
          <t>Under-represented</t>
        </is>
      </c>
      <c r="M160" s="15">
        <f>IFERROR((F160-E160)/E160*100,0)</f>
        <v/>
      </c>
      <c r="N160" s="14">
        <f>F160-I160</f>
        <v/>
      </c>
      <c r="O160" s="14" t="n"/>
    </row>
    <row r="161">
      <c r="A161" t="inlineStr">
        <is>
          <t>CON-160</t>
        </is>
      </c>
      <c r="B161" t="inlineStr">
        <is>
          <t>Uttar Pradesh</t>
        </is>
      </c>
      <c r="C161" t="inlineStr">
        <is>
          <t>Uttar_Dist_160</t>
        </is>
      </c>
      <c r="D161" t="inlineStr">
        <is>
          <t>General</t>
        </is>
      </c>
      <c r="E161" s="14" t="n">
        <v>1365</v>
      </c>
      <c r="F161" s="14" t="n">
        <v>1911</v>
      </c>
      <c r="G161" s="15" t="n">
        <v>71.33</v>
      </c>
      <c r="H161" t="n">
        <v>1</v>
      </c>
      <c r="I161" s="14" t="n">
        <v>2200</v>
      </c>
      <c r="J161" s="15" t="n">
        <v>0.87</v>
      </c>
      <c r="K161" s="15" t="n">
        <v>13</v>
      </c>
      <c r="L161" s="15" t="inlineStr">
        <is>
          <t>Balanced</t>
        </is>
      </c>
      <c r="M161" s="15">
        <f>IFERROR((F161-E161)/E161*100,0)</f>
        <v/>
      </c>
      <c r="N161" s="14">
        <f>F161-I161</f>
        <v/>
      </c>
      <c r="O161" s="14" t="n"/>
    </row>
    <row r="162">
      <c r="A162" t="inlineStr">
        <is>
          <t>CON-161</t>
        </is>
      </c>
      <c r="B162" t="inlineStr">
        <is>
          <t>Gujarat</t>
        </is>
      </c>
      <c r="C162" t="inlineStr">
        <is>
          <t>Gujarat_Dist_161</t>
        </is>
      </c>
      <c r="D162" t="inlineStr">
        <is>
          <t>SC</t>
        </is>
      </c>
      <c r="E162" s="14" t="n">
        <v>1648</v>
      </c>
      <c r="F162" s="14" t="n">
        <v>2320</v>
      </c>
      <c r="G162" s="15" t="n">
        <v>79.43000000000001</v>
      </c>
      <c r="H162" t="n">
        <v>1</v>
      </c>
      <c r="I162" s="14" t="n">
        <v>2200</v>
      </c>
      <c r="J162" s="15" t="n">
        <v>1.05</v>
      </c>
      <c r="K162" s="15" t="n">
        <v>5</v>
      </c>
      <c r="L162" s="15" t="inlineStr">
        <is>
          <t>Balanced</t>
        </is>
      </c>
      <c r="M162" s="15">
        <f>IFERROR((F162-E162)/E162*100,0)</f>
        <v/>
      </c>
      <c r="N162" s="14">
        <f>F162-I162</f>
        <v/>
      </c>
      <c r="O162" s="14" t="n"/>
    </row>
    <row r="163">
      <c r="A163" t="inlineStr">
        <is>
          <t>CON-162</t>
        </is>
      </c>
      <c r="B163" t="inlineStr">
        <is>
          <t>Tamil Nadu</t>
        </is>
      </c>
      <c r="C163" t="inlineStr">
        <is>
          <t>Tamil_Dist_162</t>
        </is>
      </c>
      <c r="D163" t="inlineStr">
        <is>
          <t>SC</t>
        </is>
      </c>
      <c r="E163" s="14" t="n">
        <v>1986</v>
      </c>
      <c r="F163" s="14" t="n">
        <v>2616</v>
      </c>
      <c r="G163" s="15" t="n">
        <v>64.92</v>
      </c>
      <c r="H163" t="n">
        <v>1</v>
      </c>
      <c r="I163" s="14" t="n">
        <v>2200</v>
      </c>
      <c r="J163" s="15" t="n">
        <v>1.19</v>
      </c>
      <c r="K163" s="15" t="n">
        <v>19</v>
      </c>
      <c r="L163" s="15" t="inlineStr">
        <is>
          <t>Balanced</t>
        </is>
      </c>
      <c r="M163" s="15">
        <f>IFERROR((F163-E163)/E163*100,0)</f>
        <v/>
      </c>
      <c r="N163" s="14">
        <f>F163-I163</f>
        <v/>
      </c>
      <c r="O163" s="14" t="n"/>
    </row>
    <row r="164">
      <c r="A164" t="inlineStr">
        <is>
          <t>CON-163</t>
        </is>
      </c>
      <c r="B164" t="inlineStr">
        <is>
          <t>Andhra Pradesh</t>
        </is>
      </c>
      <c r="C164" t="inlineStr">
        <is>
          <t>Andhra_Dist_163</t>
        </is>
      </c>
      <c r="D164" t="inlineStr">
        <is>
          <t>ST</t>
        </is>
      </c>
      <c r="E164" s="14" t="n">
        <v>3030</v>
      </c>
      <c r="F164" s="14" t="n">
        <v>4288</v>
      </c>
      <c r="G164" s="15" t="n">
        <v>78</v>
      </c>
      <c r="H164" t="n">
        <v>1</v>
      </c>
      <c r="I164" s="14" t="n">
        <v>2200</v>
      </c>
      <c r="J164" s="15" t="n">
        <v>1.95</v>
      </c>
      <c r="K164" s="15" t="n">
        <v>95</v>
      </c>
      <c r="L164" s="15" t="inlineStr">
        <is>
          <t>Under-represented</t>
        </is>
      </c>
      <c r="M164" s="15">
        <f>IFERROR((F164-E164)/E164*100,0)</f>
        <v/>
      </c>
      <c r="N164" s="14">
        <f>F164-I164</f>
        <v/>
      </c>
      <c r="O164" s="14" t="n"/>
    </row>
    <row r="165">
      <c r="A165" t="inlineStr">
        <is>
          <t>CON-164</t>
        </is>
      </c>
      <c r="B165" t="inlineStr">
        <is>
          <t>Karnataka</t>
        </is>
      </c>
      <c r="C165" t="inlineStr">
        <is>
          <t>Karnataka_Dist_164</t>
        </is>
      </c>
      <c r="D165" t="inlineStr">
        <is>
          <t>General</t>
        </is>
      </c>
      <c r="E165" s="14" t="n">
        <v>2058</v>
      </c>
      <c r="F165" s="14" t="n">
        <v>3102</v>
      </c>
      <c r="G165" s="15" t="n">
        <v>61.33</v>
      </c>
      <c r="H165" t="n">
        <v>1</v>
      </c>
      <c r="I165" s="14" t="n">
        <v>2200</v>
      </c>
      <c r="J165" s="15" t="n">
        <v>1.41</v>
      </c>
      <c r="K165" s="15" t="n">
        <v>41</v>
      </c>
      <c r="L165" s="15" t="inlineStr">
        <is>
          <t>Under-represented</t>
        </is>
      </c>
      <c r="M165" s="15">
        <f>IFERROR((F165-E165)/E165*100,0)</f>
        <v/>
      </c>
      <c r="N165" s="14">
        <f>F165-I165</f>
        <v/>
      </c>
      <c r="O165" s="14" t="n"/>
    </row>
    <row r="166">
      <c r="A166" t="inlineStr">
        <is>
          <t>CON-165</t>
        </is>
      </c>
      <c r="B166" t="inlineStr">
        <is>
          <t>Andhra Pradesh</t>
        </is>
      </c>
      <c r="C166" t="inlineStr">
        <is>
          <t>Andhra_Dist_165</t>
        </is>
      </c>
      <c r="D166" t="inlineStr">
        <is>
          <t>General</t>
        </is>
      </c>
      <c r="E166" s="14" t="n">
        <v>3453</v>
      </c>
      <c r="F166" s="14" t="n">
        <v>4937</v>
      </c>
      <c r="G166" s="15" t="n">
        <v>65.66</v>
      </c>
      <c r="H166" t="n">
        <v>1</v>
      </c>
      <c r="I166" s="14" t="n">
        <v>2200</v>
      </c>
      <c r="J166" s="15" t="n">
        <v>2.24</v>
      </c>
      <c r="K166" s="15" t="n">
        <v>124</v>
      </c>
      <c r="L166" s="15" t="inlineStr">
        <is>
          <t>Under-represented</t>
        </is>
      </c>
      <c r="M166" s="15">
        <f>IFERROR((F166-E166)/E166*100,0)</f>
        <v/>
      </c>
      <c r="N166" s="14">
        <f>F166-I166</f>
        <v/>
      </c>
      <c r="O166" s="14" t="n"/>
    </row>
    <row r="167">
      <c r="A167" t="inlineStr">
        <is>
          <t>CON-166</t>
        </is>
      </c>
      <c r="B167" t="inlineStr">
        <is>
          <t>Kerala</t>
        </is>
      </c>
      <c r="C167" t="inlineStr">
        <is>
          <t>Kerala_Dist_166</t>
        </is>
      </c>
      <c r="D167" t="inlineStr">
        <is>
          <t>General</t>
        </is>
      </c>
      <c r="E167" s="14" t="n">
        <v>2863</v>
      </c>
      <c r="F167" s="14" t="n">
        <v>4320</v>
      </c>
      <c r="G167" s="15" t="n">
        <v>78.98999999999999</v>
      </c>
      <c r="H167" t="n">
        <v>1</v>
      </c>
      <c r="I167" s="14" t="n">
        <v>2200</v>
      </c>
      <c r="J167" s="15" t="n">
        <v>1.96</v>
      </c>
      <c r="K167" s="15" t="n">
        <v>96</v>
      </c>
      <c r="L167" s="15" t="inlineStr">
        <is>
          <t>Under-represented</t>
        </is>
      </c>
      <c r="M167" s="15">
        <f>IFERROR((F167-E167)/E167*100,0)</f>
        <v/>
      </c>
      <c r="N167" s="14">
        <f>F167-I167</f>
        <v/>
      </c>
      <c r="O167" s="14" t="n"/>
    </row>
    <row r="168">
      <c r="A168" t="inlineStr">
        <is>
          <t>CON-167</t>
        </is>
      </c>
      <c r="B168" t="inlineStr">
        <is>
          <t>Telangana</t>
        </is>
      </c>
      <c r="C168" t="inlineStr">
        <is>
          <t>Telangana_Dist_167</t>
        </is>
      </c>
      <c r="D168" t="inlineStr">
        <is>
          <t>General</t>
        </is>
      </c>
      <c r="E168" s="14" t="n">
        <v>3245</v>
      </c>
      <c r="F168" s="14" t="n">
        <v>4483</v>
      </c>
      <c r="G168" s="15" t="n">
        <v>83.76000000000001</v>
      </c>
      <c r="H168" t="n">
        <v>1</v>
      </c>
      <c r="I168" s="14" t="n">
        <v>2200</v>
      </c>
      <c r="J168" s="15" t="n">
        <v>2.04</v>
      </c>
      <c r="K168" s="15" t="n">
        <v>104</v>
      </c>
      <c r="L168" s="15" t="inlineStr">
        <is>
          <t>Under-represented</t>
        </is>
      </c>
      <c r="M168" s="15">
        <f>IFERROR((F168-E168)/E168*100,0)</f>
        <v/>
      </c>
      <c r="N168" s="14">
        <f>F168-I168</f>
        <v/>
      </c>
      <c r="O168" s="14" t="n"/>
    </row>
    <row r="169">
      <c r="A169" t="inlineStr">
        <is>
          <t>CON-168</t>
        </is>
      </c>
      <c r="B169" t="inlineStr">
        <is>
          <t>Karnataka</t>
        </is>
      </c>
      <c r="C169" t="inlineStr">
        <is>
          <t>Karnataka_Dist_168</t>
        </is>
      </c>
      <c r="D169" t="inlineStr">
        <is>
          <t>SC</t>
        </is>
      </c>
      <c r="E169" s="14" t="n">
        <v>1419</v>
      </c>
      <c r="F169" s="14" t="n">
        <v>2000</v>
      </c>
      <c r="G169" s="15" t="n">
        <v>77.28</v>
      </c>
      <c r="H169" t="n">
        <v>1</v>
      </c>
      <c r="I169" s="14" t="n">
        <v>2200</v>
      </c>
      <c r="J169" s="15" t="n">
        <v>0.91</v>
      </c>
      <c r="K169" s="15" t="n">
        <v>9</v>
      </c>
      <c r="L169" s="15" t="inlineStr">
        <is>
          <t>Balanced</t>
        </is>
      </c>
      <c r="M169" s="15">
        <f>IFERROR((F169-E169)/E169*100,0)</f>
        <v/>
      </c>
      <c r="N169" s="14">
        <f>F169-I169</f>
        <v/>
      </c>
      <c r="O169" s="14" t="n"/>
    </row>
    <row r="170">
      <c r="A170" t="inlineStr">
        <is>
          <t>CON-169</t>
        </is>
      </c>
      <c r="B170" t="inlineStr">
        <is>
          <t>Maharashtra</t>
        </is>
      </c>
      <c r="C170" t="inlineStr">
        <is>
          <t>Maharashtra_Dist_169</t>
        </is>
      </c>
      <c r="D170" t="inlineStr">
        <is>
          <t>ST</t>
        </is>
      </c>
      <c r="E170" s="14" t="n">
        <v>1343</v>
      </c>
      <c r="F170" s="14" t="n">
        <v>2285</v>
      </c>
      <c r="G170" s="15" t="n">
        <v>77.90000000000001</v>
      </c>
      <c r="H170" t="n">
        <v>1</v>
      </c>
      <c r="I170" s="14" t="n">
        <v>2200</v>
      </c>
      <c r="J170" s="15" t="n">
        <v>1.04</v>
      </c>
      <c r="K170" s="15" t="n">
        <v>4</v>
      </c>
      <c r="L170" s="15" t="inlineStr">
        <is>
          <t>Balanced</t>
        </is>
      </c>
      <c r="M170" s="15">
        <f>IFERROR((F170-E170)/E170*100,0)</f>
        <v/>
      </c>
      <c r="N170" s="14">
        <f>F170-I170</f>
        <v/>
      </c>
      <c r="O170" s="14" t="n"/>
    </row>
    <row r="171">
      <c r="A171" t="inlineStr">
        <is>
          <t>CON-170</t>
        </is>
      </c>
      <c r="B171" t="inlineStr">
        <is>
          <t>Andhra Pradesh</t>
        </is>
      </c>
      <c r="C171" t="inlineStr">
        <is>
          <t>Andhra_Dist_170</t>
        </is>
      </c>
      <c r="D171" t="inlineStr">
        <is>
          <t>General</t>
        </is>
      </c>
      <c r="E171" s="14" t="n">
        <v>3753</v>
      </c>
      <c r="F171" s="14" t="n">
        <v>5956</v>
      </c>
      <c r="G171" s="15" t="n">
        <v>71.45999999999999</v>
      </c>
      <c r="H171" t="n">
        <v>1</v>
      </c>
      <c r="I171" s="14" t="n">
        <v>2200</v>
      </c>
      <c r="J171" s="15" t="n">
        <v>2.71</v>
      </c>
      <c r="K171" s="15" t="n">
        <v>171</v>
      </c>
      <c r="L171" s="15" t="inlineStr">
        <is>
          <t>Under-represented</t>
        </is>
      </c>
      <c r="M171" s="15">
        <f>IFERROR((F171-E171)/E171*100,0)</f>
        <v/>
      </c>
      <c r="N171" s="14">
        <f>F171-I171</f>
        <v/>
      </c>
      <c r="O171" s="14" t="n"/>
    </row>
    <row r="172">
      <c r="A172" t="inlineStr">
        <is>
          <t>CON-171</t>
        </is>
      </c>
      <c r="B172" t="inlineStr">
        <is>
          <t>Maharashtra</t>
        </is>
      </c>
      <c r="C172" t="inlineStr">
        <is>
          <t>Maharashtra_Dist_171</t>
        </is>
      </c>
      <c r="D172" t="inlineStr">
        <is>
          <t>General</t>
        </is>
      </c>
      <c r="E172" s="14" t="n">
        <v>3087</v>
      </c>
      <c r="F172" s="14" t="n">
        <v>5024</v>
      </c>
      <c r="G172" s="15" t="n">
        <v>63.28</v>
      </c>
      <c r="H172" t="n">
        <v>1</v>
      </c>
      <c r="I172" s="14" t="n">
        <v>2200</v>
      </c>
      <c r="J172" s="15" t="n">
        <v>2.28</v>
      </c>
      <c r="K172" s="15" t="n">
        <v>128</v>
      </c>
      <c r="L172" s="15" t="inlineStr">
        <is>
          <t>Under-represented</t>
        </is>
      </c>
      <c r="M172" s="15">
        <f>IFERROR((F172-E172)/E172*100,0)</f>
        <v/>
      </c>
      <c r="N172" s="14">
        <f>F172-I172</f>
        <v/>
      </c>
      <c r="O172" s="14" t="n"/>
    </row>
    <row r="173">
      <c r="A173" t="inlineStr">
        <is>
          <t>CON-172</t>
        </is>
      </c>
      <c r="B173" t="inlineStr">
        <is>
          <t>Bihar</t>
        </is>
      </c>
      <c r="C173" t="inlineStr">
        <is>
          <t>Bihar_Dist_172</t>
        </is>
      </c>
      <c r="D173" t="inlineStr">
        <is>
          <t>General</t>
        </is>
      </c>
      <c r="E173" s="14" t="n">
        <v>2251</v>
      </c>
      <c r="F173" s="14" t="n">
        <v>2918</v>
      </c>
      <c r="G173" s="15" t="n">
        <v>84.18000000000001</v>
      </c>
      <c r="H173" t="n">
        <v>1</v>
      </c>
      <c r="I173" s="14" t="n">
        <v>2200</v>
      </c>
      <c r="J173" s="15" t="n">
        <v>1.33</v>
      </c>
      <c r="K173" s="15" t="n">
        <v>33</v>
      </c>
      <c r="L173" s="15" t="inlineStr">
        <is>
          <t>Under-represented</t>
        </is>
      </c>
      <c r="M173" s="15">
        <f>IFERROR((F173-E173)/E173*100,0)</f>
        <v/>
      </c>
      <c r="N173" s="14">
        <f>F173-I173</f>
        <v/>
      </c>
      <c r="O173" s="14" t="n"/>
    </row>
    <row r="174">
      <c r="A174" t="inlineStr">
        <is>
          <t>CON-173</t>
        </is>
      </c>
      <c r="B174" t="inlineStr">
        <is>
          <t>Maharashtra</t>
        </is>
      </c>
      <c r="C174" t="inlineStr">
        <is>
          <t>Maharashtra_Dist_173</t>
        </is>
      </c>
      <c r="D174" t="inlineStr">
        <is>
          <t>General</t>
        </is>
      </c>
      <c r="E174" s="14" t="n">
        <v>2678</v>
      </c>
      <c r="F174" s="14" t="n">
        <v>3393</v>
      </c>
      <c r="G174" s="15" t="n">
        <v>78.84</v>
      </c>
      <c r="H174" t="n">
        <v>1</v>
      </c>
      <c r="I174" s="14" t="n">
        <v>2200</v>
      </c>
      <c r="J174" s="15" t="n">
        <v>1.54</v>
      </c>
      <c r="K174" s="15" t="n">
        <v>54</v>
      </c>
      <c r="L174" s="15" t="inlineStr">
        <is>
          <t>Under-represented</t>
        </is>
      </c>
      <c r="M174" s="15">
        <f>IFERROR((F174-E174)/E174*100,0)</f>
        <v/>
      </c>
      <c r="N174" s="14">
        <f>F174-I174</f>
        <v/>
      </c>
      <c r="O174" s="14" t="n"/>
    </row>
    <row r="175">
      <c r="A175" t="inlineStr">
        <is>
          <t>CON-174</t>
        </is>
      </c>
      <c r="B175" t="inlineStr">
        <is>
          <t>Karnataka</t>
        </is>
      </c>
      <c r="C175" t="inlineStr">
        <is>
          <t>Karnataka_Dist_174</t>
        </is>
      </c>
      <c r="D175" t="inlineStr">
        <is>
          <t>General</t>
        </is>
      </c>
      <c r="E175" s="14" t="n">
        <v>1835</v>
      </c>
      <c r="F175" s="14" t="n">
        <v>2444</v>
      </c>
      <c r="G175" s="15" t="n">
        <v>68.91</v>
      </c>
      <c r="H175" t="n">
        <v>1</v>
      </c>
      <c r="I175" s="14" t="n">
        <v>2200</v>
      </c>
      <c r="J175" s="15" t="n">
        <v>1.11</v>
      </c>
      <c r="K175" s="15" t="n">
        <v>11</v>
      </c>
      <c r="L175" s="15" t="inlineStr">
        <is>
          <t>Balanced</t>
        </is>
      </c>
      <c r="M175" s="15">
        <f>IFERROR((F175-E175)/E175*100,0)</f>
        <v/>
      </c>
      <c r="N175" s="14">
        <f>F175-I175</f>
        <v/>
      </c>
      <c r="O175" s="14" t="n"/>
    </row>
    <row r="176">
      <c r="A176" t="inlineStr">
        <is>
          <t>CON-175</t>
        </is>
      </c>
      <c r="B176" t="inlineStr">
        <is>
          <t>Telangana</t>
        </is>
      </c>
      <c r="C176" t="inlineStr">
        <is>
          <t>Telangana_Dist_175</t>
        </is>
      </c>
      <c r="D176" t="inlineStr">
        <is>
          <t>General</t>
        </is>
      </c>
      <c r="E176" s="14" t="n">
        <v>1751</v>
      </c>
      <c r="F176" s="14" t="n">
        <v>2328</v>
      </c>
      <c r="G176" s="15" t="n">
        <v>77.45</v>
      </c>
      <c r="H176" t="n">
        <v>1</v>
      </c>
      <c r="I176" s="14" t="n">
        <v>2200</v>
      </c>
      <c r="J176" s="15" t="n">
        <v>1.06</v>
      </c>
      <c r="K176" s="15" t="n">
        <v>6</v>
      </c>
      <c r="L176" s="15" t="inlineStr">
        <is>
          <t>Balanced</t>
        </is>
      </c>
      <c r="M176" s="15">
        <f>IFERROR((F176-E176)/E176*100,0)</f>
        <v/>
      </c>
      <c r="N176" s="14">
        <f>F176-I176</f>
        <v/>
      </c>
      <c r="O176" s="14" t="n"/>
    </row>
    <row r="177">
      <c r="A177" t="inlineStr">
        <is>
          <t>CON-176</t>
        </is>
      </c>
      <c r="B177" t="inlineStr">
        <is>
          <t>Bihar</t>
        </is>
      </c>
      <c r="C177" t="inlineStr">
        <is>
          <t>Bihar_Dist_176</t>
        </is>
      </c>
      <c r="D177" t="inlineStr">
        <is>
          <t>General</t>
        </is>
      </c>
      <c r="E177" s="14" t="n">
        <v>2574</v>
      </c>
      <c r="F177" s="14" t="n">
        <v>4373</v>
      </c>
      <c r="G177" s="15" t="n">
        <v>56.5</v>
      </c>
      <c r="H177" t="n">
        <v>1</v>
      </c>
      <c r="I177" s="14" t="n">
        <v>2200</v>
      </c>
      <c r="J177" s="15" t="n">
        <v>1.99</v>
      </c>
      <c r="K177" s="15" t="n">
        <v>99</v>
      </c>
      <c r="L177" s="15" t="inlineStr">
        <is>
          <t>Under-represented</t>
        </is>
      </c>
      <c r="M177" s="15">
        <f>IFERROR((F177-E177)/E177*100,0)</f>
        <v/>
      </c>
      <c r="N177" s="14">
        <f>F177-I177</f>
        <v/>
      </c>
      <c r="O177" s="14" t="n"/>
    </row>
    <row r="178">
      <c r="A178" t="inlineStr">
        <is>
          <t>CON-177</t>
        </is>
      </c>
      <c r="B178" t="inlineStr">
        <is>
          <t>Kerala</t>
        </is>
      </c>
      <c r="C178" t="inlineStr">
        <is>
          <t>Kerala_Dist_177</t>
        </is>
      </c>
      <c r="D178" t="inlineStr">
        <is>
          <t>General</t>
        </is>
      </c>
      <c r="E178" s="14" t="n">
        <v>3515</v>
      </c>
      <c r="F178" s="14" t="n">
        <v>5612</v>
      </c>
      <c r="G178" s="15" t="n">
        <v>69.84999999999999</v>
      </c>
      <c r="H178" t="n">
        <v>1</v>
      </c>
      <c r="I178" s="14" t="n">
        <v>2200</v>
      </c>
      <c r="J178" s="15" t="n">
        <v>2.55</v>
      </c>
      <c r="K178" s="15" t="n">
        <v>155</v>
      </c>
      <c r="L178" s="15" t="inlineStr">
        <is>
          <t>Under-represented</t>
        </is>
      </c>
      <c r="M178" s="15">
        <f>IFERROR((F178-E178)/E178*100,0)</f>
        <v/>
      </c>
      <c r="N178" s="14">
        <f>F178-I178</f>
        <v/>
      </c>
      <c r="O178" s="14" t="n"/>
    </row>
    <row r="179">
      <c r="A179" t="inlineStr">
        <is>
          <t>CON-178</t>
        </is>
      </c>
      <c r="B179" t="inlineStr">
        <is>
          <t>Gujarat</t>
        </is>
      </c>
      <c r="C179" t="inlineStr">
        <is>
          <t>Gujarat_Dist_178</t>
        </is>
      </c>
      <c r="D179" t="inlineStr">
        <is>
          <t>SC</t>
        </is>
      </c>
      <c r="E179" s="14" t="n">
        <v>1328</v>
      </c>
      <c r="F179" s="14" t="n">
        <v>2279</v>
      </c>
      <c r="G179" s="15" t="n">
        <v>69.02</v>
      </c>
      <c r="H179" t="n">
        <v>1</v>
      </c>
      <c r="I179" s="14" t="n">
        <v>2200</v>
      </c>
      <c r="J179" s="15" t="n">
        <v>1.04</v>
      </c>
      <c r="K179" s="15" t="n">
        <v>4</v>
      </c>
      <c r="L179" s="15" t="inlineStr">
        <is>
          <t>Balanced</t>
        </is>
      </c>
      <c r="M179" s="15">
        <f>IFERROR((F179-E179)/E179*100,0)</f>
        <v/>
      </c>
      <c r="N179" s="14">
        <f>F179-I179</f>
        <v/>
      </c>
      <c r="O179" s="14" t="n"/>
    </row>
    <row r="180">
      <c r="A180" t="inlineStr">
        <is>
          <t>CON-179</t>
        </is>
      </c>
      <c r="B180" t="inlineStr">
        <is>
          <t>Uttar Pradesh</t>
        </is>
      </c>
      <c r="C180" t="inlineStr">
        <is>
          <t>Uttar_Dist_179</t>
        </is>
      </c>
      <c r="D180" t="inlineStr">
        <is>
          <t>General</t>
        </is>
      </c>
      <c r="E180" s="14" t="n">
        <v>1861</v>
      </c>
      <c r="F180" s="14" t="n">
        <v>2663</v>
      </c>
      <c r="G180" s="15" t="n">
        <v>78.42</v>
      </c>
      <c r="H180" t="n">
        <v>1</v>
      </c>
      <c r="I180" s="14" t="n">
        <v>2200</v>
      </c>
      <c r="J180" s="15" t="n">
        <v>1.21</v>
      </c>
      <c r="K180" s="15" t="n">
        <v>21</v>
      </c>
      <c r="L180" s="15" t="inlineStr">
        <is>
          <t>Balanced</t>
        </is>
      </c>
      <c r="M180" s="15">
        <f>IFERROR((F180-E180)/E180*100,0)</f>
        <v/>
      </c>
      <c r="N180" s="14">
        <f>F180-I180</f>
        <v/>
      </c>
      <c r="O180" s="14" t="n"/>
    </row>
    <row r="181">
      <c r="A181" t="inlineStr">
        <is>
          <t>CON-180</t>
        </is>
      </c>
      <c r="B181" t="inlineStr">
        <is>
          <t>West Bengal</t>
        </is>
      </c>
      <c r="C181" t="inlineStr">
        <is>
          <t>West_Dist_180</t>
        </is>
      </c>
      <c r="D181" t="inlineStr">
        <is>
          <t>General</t>
        </is>
      </c>
      <c r="E181" s="14" t="n">
        <v>1759</v>
      </c>
      <c r="F181" s="14" t="n">
        <v>2460</v>
      </c>
      <c r="G181" s="15" t="n">
        <v>64.64</v>
      </c>
      <c r="H181" t="n">
        <v>1</v>
      </c>
      <c r="I181" s="14" t="n">
        <v>2200</v>
      </c>
      <c r="J181" s="15" t="n">
        <v>1.12</v>
      </c>
      <c r="K181" s="15" t="n">
        <v>12</v>
      </c>
      <c r="L181" s="15" t="inlineStr">
        <is>
          <t>Balanced</t>
        </is>
      </c>
      <c r="M181" s="15">
        <f>IFERROR((F181-E181)/E181*100,0)</f>
        <v/>
      </c>
      <c r="N181" s="14">
        <f>F181-I181</f>
        <v/>
      </c>
      <c r="O181" s="14" t="n"/>
    </row>
    <row r="182">
      <c r="A182" t="inlineStr">
        <is>
          <t>CON-181</t>
        </is>
      </c>
      <c r="B182" t="inlineStr">
        <is>
          <t>Uttar Pradesh</t>
        </is>
      </c>
      <c r="C182" t="inlineStr">
        <is>
          <t>Uttar_Dist_181</t>
        </is>
      </c>
      <c r="D182" t="inlineStr">
        <is>
          <t>General</t>
        </is>
      </c>
      <c r="E182" s="14" t="n">
        <v>1644</v>
      </c>
      <c r="F182" s="14" t="n">
        <v>2073</v>
      </c>
      <c r="G182" s="15" t="n">
        <v>53.78</v>
      </c>
      <c r="H182" t="n">
        <v>1</v>
      </c>
      <c r="I182" s="14" t="n">
        <v>2200</v>
      </c>
      <c r="J182" s="15" t="n">
        <v>0.9399999999999999</v>
      </c>
      <c r="K182" s="15" t="n">
        <v>6</v>
      </c>
      <c r="L182" s="15" t="inlineStr">
        <is>
          <t>Balanced</t>
        </is>
      </c>
      <c r="M182" s="15">
        <f>IFERROR((F182-E182)/E182*100,0)</f>
        <v/>
      </c>
      <c r="N182" s="14">
        <f>F182-I182</f>
        <v/>
      </c>
      <c r="O182" s="14" t="n"/>
    </row>
    <row r="183">
      <c r="A183" t="inlineStr">
        <is>
          <t>CON-182</t>
        </is>
      </c>
      <c r="B183" t="inlineStr">
        <is>
          <t>Maharashtra</t>
        </is>
      </c>
      <c r="C183" t="inlineStr">
        <is>
          <t>Maharashtra_Dist_182</t>
        </is>
      </c>
      <c r="D183" t="inlineStr">
        <is>
          <t>SC</t>
        </is>
      </c>
      <c r="E183" s="14" t="n">
        <v>3497</v>
      </c>
      <c r="F183" s="14" t="n">
        <v>6119</v>
      </c>
      <c r="G183" s="15" t="n">
        <v>80.87</v>
      </c>
      <c r="H183" t="n">
        <v>1</v>
      </c>
      <c r="I183" s="14" t="n">
        <v>2200</v>
      </c>
      <c r="J183" s="15" t="n">
        <v>2.78</v>
      </c>
      <c r="K183" s="15" t="n">
        <v>178</v>
      </c>
      <c r="L183" s="15" t="inlineStr">
        <is>
          <t>Under-represented</t>
        </is>
      </c>
      <c r="M183" s="15">
        <f>IFERROR((F183-E183)/E183*100,0)</f>
        <v/>
      </c>
      <c r="N183" s="14">
        <f>F183-I183</f>
        <v/>
      </c>
      <c r="O183" s="14" t="n"/>
    </row>
    <row r="184">
      <c r="A184" t="inlineStr">
        <is>
          <t>CON-183</t>
        </is>
      </c>
      <c r="B184" t="inlineStr">
        <is>
          <t>Kerala</t>
        </is>
      </c>
      <c r="C184" t="inlineStr">
        <is>
          <t>Kerala_Dist_183</t>
        </is>
      </c>
      <c r="D184" t="inlineStr">
        <is>
          <t>General</t>
        </is>
      </c>
      <c r="E184" s="14" t="n">
        <v>2387</v>
      </c>
      <c r="F184" s="14" t="n">
        <v>3320</v>
      </c>
      <c r="G184" s="15" t="n">
        <v>73.48</v>
      </c>
      <c r="H184" t="n">
        <v>1</v>
      </c>
      <c r="I184" s="14" t="n">
        <v>2200</v>
      </c>
      <c r="J184" s="15" t="n">
        <v>1.51</v>
      </c>
      <c r="K184" s="15" t="n">
        <v>51</v>
      </c>
      <c r="L184" s="15" t="inlineStr">
        <is>
          <t>Under-represented</t>
        </is>
      </c>
      <c r="M184" s="15">
        <f>IFERROR((F184-E184)/E184*100,0)</f>
        <v/>
      </c>
      <c r="N184" s="14">
        <f>F184-I184</f>
        <v/>
      </c>
      <c r="O184" s="14" t="n"/>
    </row>
    <row r="185">
      <c r="A185" t="inlineStr">
        <is>
          <t>CON-184</t>
        </is>
      </c>
      <c r="B185" t="inlineStr">
        <is>
          <t>West Bengal</t>
        </is>
      </c>
      <c r="C185" t="inlineStr">
        <is>
          <t>West_Dist_184</t>
        </is>
      </c>
      <c r="D185" t="inlineStr">
        <is>
          <t>General</t>
        </is>
      </c>
      <c r="E185" s="14" t="n">
        <v>2682</v>
      </c>
      <c r="F185" s="14" t="n">
        <v>4629</v>
      </c>
      <c r="G185" s="15" t="n">
        <v>76.58</v>
      </c>
      <c r="H185" t="n">
        <v>1</v>
      </c>
      <c r="I185" s="14" t="n">
        <v>2200</v>
      </c>
      <c r="J185" s="15" t="n">
        <v>2.1</v>
      </c>
      <c r="K185" s="15" t="n">
        <v>110</v>
      </c>
      <c r="L185" s="15" t="inlineStr">
        <is>
          <t>Under-represented</t>
        </is>
      </c>
      <c r="M185" s="15">
        <f>IFERROR((F185-E185)/E185*100,0)</f>
        <v/>
      </c>
      <c r="N185" s="14">
        <f>F185-I185</f>
        <v/>
      </c>
      <c r="O185" s="14" t="n"/>
    </row>
    <row r="186">
      <c r="A186" t="inlineStr">
        <is>
          <t>CON-185</t>
        </is>
      </c>
      <c r="B186" t="inlineStr">
        <is>
          <t>Andhra Pradesh</t>
        </is>
      </c>
      <c r="C186" t="inlineStr">
        <is>
          <t>Andhra_Dist_185</t>
        </is>
      </c>
      <c r="D186" t="inlineStr">
        <is>
          <t>General</t>
        </is>
      </c>
      <c r="E186" s="14" t="n">
        <v>3088</v>
      </c>
      <c r="F186" s="14" t="n">
        <v>5211</v>
      </c>
      <c r="G186" s="15" t="n">
        <v>78.84</v>
      </c>
      <c r="H186" t="n">
        <v>1</v>
      </c>
      <c r="I186" s="14" t="n">
        <v>2200</v>
      </c>
      <c r="J186" s="15" t="n">
        <v>2.37</v>
      </c>
      <c r="K186" s="15" t="n">
        <v>137</v>
      </c>
      <c r="L186" s="15" t="inlineStr">
        <is>
          <t>Under-represented</t>
        </is>
      </c>
      <c r="M186" s="15">
        <f>IFERROR((F186-E186)/E186*100,0)</f>
        <v/>
      </c>
      <c r="N186" s="14">
        <f>F186-I186</f>
        <v/>
      </c>
      <c r="O186" s="14" t="n"/>
    </row>
    <row r="187">
      <c r="A187" t="inlineStr">
        <is>
          <t>CON-186</t>
        </is>
      </c>
      <c r="B187" t="inlineStr">
        <is>
          <t>West Bengal</t>
        </is>
      </c>
      <c r="C187" t="inlineStr">
        <is>
          <t>West_Dist_186</t>
        </is>
      </c>
      <c r="D187" t="inlineStr">
        <is>
          <t>General</t>
        </is>
      </c>
      <c r="E187" s="14" t="n">
        <v>2551</v>
      </c>
      <c r="F187" s="14" t="n">
        <v>4243</v>
      </c>
      <c r="G187" s="15" t="n">
        <v>58.46</v>
      </c>
      <c r="H187" t="n">
        <v>1</v>
      </c>
      <c r="I187" s="14" t="n">
        <v>2200</v>
      </c>
      <c r="J187" s="15" t="n">
        <v>1.93</v>
      </c>
      <c r="K187" s="15" t="n">
        <v>93</v>
      </c>
      <c r="L187" s="15" t="inlineStr">
        <is>
          <t>Under-represented</t>
        </is>
      </c>
      <c r="M187" s="15">
        <f>IFERROR((F187-E187)/E187*100,0)</f>
        <v/>
      </c>
      <c r="N187" s="14">
        <f>F187-I187</f>
        <v/>
      </c>
      <c r="O187" s="14" t="n"/>
    </row>
    <row r="188">
      <c r="A188" t="inlineStr">
        <is>
          <t>CON-187</t>
        </is>
      </c>
      <c r="B188" t="inlineStr">
        <is>
          <t>West Bengal</t>
        </is>
      </c>
      <c r="C188" t="inlineStr">
        <is>
          <t>West_Dist_187</t>
        </is>
      </c>
      <c r="D188" t="inlineStr">
        <is>
          <t>General</t>
        </is>
      </c>
      <c r="E188" s="14" t="n">
        <v>1775</v>
      </c>
      <c r="F188" s="14" t="n">
        <v>2574</v>
      </c>
      <c r="G188" s="15" t="n">
        <v>73.28</v>
      </c>
      <c r="H188" t="n">
        <v>1</v>
      </c>
      <c r="I188" s="14" t="n">
        <v>2200</v>
      </c>
      <c r="J188" s="15" t="n">
        <v>1.17</v>
      </c>
      <c r="K188" s="15" t="n">
        <v>17</v>
      </c>
      <c r="L188" s="15" t="inlineStr">
        <is>
          <t>Balanced</t>
        </is>
      </c>
      <c r="M188" s="15">
        <f>IFERROR((F188-E188)/E188*100,0)</f>
        <v/>
      </c>
      <c r="N188" s="14">
        <f>F188-I188</f>
        <v/>
      </c>
      <c r="O188" s="14" t="n"/>
    </row>
    <row r="189">
      <c r="A189" t="inlineStr">
        <is>
          <t>CON-188</t>
        </is>
      </c>
      <c r="B189" t="inlineStr">
        <is>
          <t>Telangana</t>
        </is>
      </c>
      <c r="C189" t="inlineStr">
        <is>
          <t>Telangana_Dist_188</t>
        </is>
      </c>
      <c r="D189" t="inlineStr">
        <is>
          <t>General</t>
        </is>
      </c>
      <c r="E189" s="14" t="n">
        <v>1472</v>
      </c>
      <c r="F189" s="14" t="n">
        <v>1906</v>
      </c>
      <c r="G189" s="15" t="n">
        <v>59.39</v>
      </c>
      <c r="H189" t="n">
        <v>1</v>
      </c>
      <c r="I189" s="14" t="n">
        <v>2200</v>
      </c>
      <c r="J189" s="15" t="n">
        <v>0.87</v>
      </c>
      <c r="K189" s="15" t="n">
        <v>13</v>
      </c>
      <c r="L189" s="15" t="inlineStr">
        <is>
          <t>Balanced</t>
        </is>
      </c>
      <c r="M189" s="15">
        <f>IFERROR((F189-E189)/E189*100,0)</f>
        <v/>
      </c>
      <c r="N189" s="14">
        <f>F189-I189</f>
        <v/>
      </c>
      <c r="O189" s="14" t="n"/>
    </row>
    <row r="190">
      <c r="A190" t="inlineStr">
        <is>
          <t>CON-189</t>
        </is>
      </c>
      <c r="B190" t="inlineStr">
        <is>
          <t>Telangana</t>
        </is>
      </c>
      <c r="C190" t="inlineStr">
        <is>
          <t>Telangana_Dist_189</t>
        </is>
      </c>
      <c r="D190" t="inlineStr">
        <is>
          <t>General</t>
        </is>
      </c>
      <c r="E190" s="14" t="n">
        <v>1672</v>
      </c>
      <c r="F190" s="14" t="n">
        <v>2137</v>
      </c>
      <c r="G190" s="15" t="n">
        <v>72.87</v>
      </c>
      <c r="H190" t="n">
        <v>1</v>
      </c>
      <c r="I190" s="14" t="n">
        <v>2200</v>
      </c>
      <c r="J190" s="15" t="n">
        <v>0.97</v>
      </c>
      <c r="K190" s="15" t="n">
        <v>3</v>
      </c>
      <c r="L190" s="15" t="inlineStr">
        <is>
          <t>Balanced</t>
        </is>
      </c>
      <c r="M190" s="15">
        <f>IFERROR((F190-E190)/E190*100,0)</f>
        <v/>
      </c>
      <c r="N190" s="14">
        <f>F190-I190</f>
        <v/>
      </c>
      <c r="O190" s="14" t="n"/>
    </row>
    <row r="191">
      <c r="A191" t="inlineStr">
        <is>
          <t>CON-190</t>
        </is>
      </c>
      <c r="B191" t="inlineStr">
        <is>
          <t>West Bengal</t>
        </is>
      </c>
      <c r="C191" t="inlineStr">
        <is>
          <t>West_Dist_190</t>
        </is>
      </c>
      <c r="D191" t="inlineStr">
        <is>
          <t>ST</t>
        </is>
      </c>
      <c r="E191" s="14" t="n">
        <v>1791</v>
      </c>
      <c r="F191" s="14" t="n">
        <v>2873</v>
      </c>
      <c r="G191" s="15" t="n">
        <v>83.15000000000001</v>
      </c>
      <c r="H191" t="n">
        <v>1</v>
      </c>
      <c r="I191" s="14" t="n">
        <v>2200</v>
      </c>
      <c r="J191" s="15" t="n">
        <v>1.31</v>
      </c>
      <c r="K191" s="15" t="n">
        <v>31</v>
      </c>
      <c r="L191" s="15" t="inlineStr">
        <is>
          <t>Under-represented</t>
        </is>
      </c>
      <c r="M191" s="15">
        <f>IFERROR((F191-E191)/E191*100,0)</f>
        <v/>
      </c>
      <c r="N191" s="14">
        <f>F191-I191</f>
        <v/>
      </c>
      <c r="O191" s="14" t="n"/>
    </row>
    <row r="192">
      <c r="A192" t="inlineStr">
        <is>
          <t>CON-191</t>
        </is>
      </c>
      <c r="B192" t="inlineStr">
        <is>
          <t>Uttar Pradesh</t>
        </is>
      </c>
      <c r="C192" t="inlineStr">
        <is>
          <t>Uttar_Dist_191</t>
        </is>
      </c>
      <c r="D192" t="inlineStr">
        <is>
          <t>General</t>
        </is>
      </c>
      <c r="E192" s="14" t="n">
        <v>2862</v>
      </c>
      <c r="F192" s="14" t="n">
        <v>3943</v>
      </c>
      <c r="G192" s="15" t="n">
        <v>69.54000000000001</v>
      </c>
      <c r="H192" t="n">
        <v>1</v>
      </c>
      <c r="I192" s="14" t="n">
        <v>2200</v>
      </c>
      <c r="J192" s="15" t="n">
        <v>1.79</v>
      </c>
      <c r="K192" s="15" t="n">
        <v>79</v>
      </c>
      <c r="L192" s="15" t="inlineStr">
        <is>
          <t>Under-represented</t>
        </is>
      </c>
      <c r="M192" s="15">
        <f>IFERROR((F192-E192)/E192*100,0)</f>
        <v/>
      </c>
      <c r="N192" s="14">
        <f>F192-I192</f>
        <v/>
      </c>
      <c r="O192" s="14" t="n"/>
    </row>
    <row r="193">
      <c r="A193" t="inlineStr">
        <is>
          <t>CON-192</t>
        </is>
      </c>
      <c r="B193" t="inlineStr">
        <is>
          <t>Telangana</t>
        </is>
      </c>
      <c r="C193" t="inlineStr">
        <is>
          <t>Telangana_Dist_192</t>
        </is>
      </c>
      <c r="D193" t="inlineStr">
        <is>
          <t>General</t>
        </is>
      </c>
      <c r="E193" s="14" t="n">
        <v>2330</v>
      </c>
      <c r="F193" s="14" t="n">
        <v>3397</v>
      </c>
      <c r="G193" s="15" t="n">
        <v>78.33</v>
      </c>
      <c r="H193" t="n">
        <v>1</v>
      </c>
      <c r="I193" s="14" t="n">
        <v>2200</v>
      </c>
      <c r="J193" s="15" t="n">
        <v>1.54</v>
      </c>
      <c r="K193" s="15" t="n">
        <v>54</v>
      </c>
      <c r="L193" s="15" t="inlineStr">
        <is>
          <t>Under-represented</t>
        </is>
      </c>
      <c r="M193" s="15">
        <f>IFERROR((F193-E193)/E193*100,0)</f>
        <v/>
      </c>
      <c r="N193" s="14">
        <f>F193-I193</f>
        <v/>
      </c>
      <c r="O193" s="14" t="n"/>
    </row>
    <row r="194">
      <c r="A194" t="inlineStr">
        <is>
          <t>CON-193</t>
        </is>
      </c>
      <c r="B194" t="inlineStr">
        <is>
          <t>Andhra Pradesh</t>
        </is>
      </c>
      <c r="C194" t="inlineStr">
        <is>
          <t>Andhra_Dist_193</t>
        </is>
      </c>
      <c r="D194" t="inlineStr">
        <is>
          <t>General</t>
        </is>
      </c>
      <c r="E194" s="14" t="n">
        <v>3475</v>
      </c>
      <c r="F194" s="14" t="n">
        <v>4646</v>
      </c>
      <c r="G194" s="15" t="n">
        <v>81.34</v>
      </c>
      <c r="H194" t="n">
        <v>1</v>
      </c>
      <c r="I194" s="14" t="n">
        <v>2200</v>
      </c>
      <c r="J194" s="15" t="n">
        <v>2.11</v>
      </c>
      <c r="K194" s="15" t="n">
        <v>111</v>
      </c>
      <c r="L194" s="15" t="inlineStr">
        <is>
          <t>Under-represented</t>
        </is>
      </c>
      <c r="M194" s="15">
        <f>IFERROR((F194-E194)/E194*100,0)</f>
        <v/>
      </c>
      <c r="N194" s="14">
        <f>F194-I194</f>
        <v/>
      </c>
      <c r="O194" s="14" t="n"/>
    </row>
    <row r="195">
      <c r="A195" t="inlineStr">
        <is>
          <t>CON-194</t>
        </is>
      </c>
      <c r="B195" t="inlineStr">
        <is>
          <t>Gujarat</t>
        </is>
      </c>
      <c r="C195" t="inlineStr">
        <is>
          <t>Gujarat_Dist_194</t>
        </is>
      </c>
      <c r="D195" t="inlineStr">
        <is>
          <t>General</t>
        </is>
      </c>
      <c r="E195" s="14" t="n">
        <v>1916</v>
      </c>
      <c r="F195" s="14" t="n">
        <v>2864</v>
      </c>
      <c r="G195" s="15" t="n">
        <v>54.72</v>
      </c>
      <c r="H195" t="n">
        <v>1</v>
      </c>
      <c r="I195" s="14" t="n">
        <v>2200</v>
      </c>
      <c r="J195" s="15" t="n">
        <v>1.3</v>
      </c>
      <c r="K195" s="15" t="n">
        <v>30</v>
      </c>
      <c r="L195" s="15" t="inlineStr">
        <is>
          <t>Under-represented</t>
        </is>
      </c>
      <c r="M195" s="15">
        <f>IFERROR((F195-E195)/E195*100,0)</f>
        <v/>
      </c>
      <c r="N195" s="14">
        <f>F195-I195</f>
        <v/>
      </c>
      <c r="O195" s="14" t="n"/>
    </row>
    <row r="196">
      <c r="A196" t="inlineStr">
        <is>
          <t>CON-195</t>
        </is>
      </c>
      <c r="B196" t="inlineStr">
        <is>
          <t>Gujarat</t>
        </is>
      </c>
      <c r="C196" t="inlineStr">
        <is>
          <t>Gujarat_Dist_195</t>
        </is>
      </c>
      <c r="D196" t="inlineStr">
        <is>
          <t>General</t>
        </is>
      </c>
      <c r="E196" s="14" t="n">
        <v>2766</v>
      </c>
      <c r="F196" s="14" t="n">
        <v>4839</v>
      </c>
      <c r="G196" s="15" t="n">
        <v>61.57</v>
      </c>
      <c r="H196" t="n">
        <v>1</v>
      </c>
      <c r="I196" s="14" t="n">
        <v>2200</v>
      </c>
      <c r="J196" s="15" t="n">
        <v>2.2</v>
      </c>
      <c r="K196" s="15" t="n">
        <v>120</v>
      </c>
      <c r="L196" s="15" t="inlineStr">
        <is>
          <t>Under-represented</t>
        </is>
      </c>
      <c r="M196" s="15">
        <f>IFERROR((F196-E196)/E196*100,0)</f>
        <v/>
      </c>
      <c r="N196" s="14">
        <f>F196-I196</f>
        <v/>
      </c>
      <c r="O196" s="14" t="n"/>
    </row>
    <row r="197">
      <c r="A197" t="inlineStr">
        <is>
          <t>CON-196</t>
        </is>
      </c>
      <c r="B197" t="inlineStr">
        <is>
          <t>Telangana</t>
        </is>
      </c>
      <c r="C197" t="inlineStr">
        <is>
          <t>Telangana_Dist_196</t>
        </is>
      </c>
      <c r="D197" t="inlineStr">
        <is>
          <t>General</t>
        </is>
      </c>
      <c r="E197" s="14" t="n">
        <v>3309</v>
      </c>
      <c r="F197" s="14" t="n">
        <v>5522</v>
      </c>
      <c r="G197" s="15" t="n">
        <v>74.51000000000001</v>
      </c>
      <c r="H197" t="n">
        <v>1</v>
      </c>
      <c r="I197" s="14" t="n">
        <v>2200</v>
      </c>
      <c r="J197" s="15" t="n">
        <v>2.51</v>
      </c>
      <c r="K197" s="15" t="n">
        <v>151</v>
      </c>
      <c r="L197" s="15" t="inlineStr">
        <is>
          <t>Under-represented</t>
        </is>
      </c>
      <c r="M197" s="15">
        <f>IFERROR((F197-E197)/E197*100,0)</f>
        <v/>
      </c>
      <c r="N197" s="14">
        <f>F197-I197</f>
        <v/>
      </c>
      <c r="O197" s="14" t="n"/>
    </row>
    <row r="198">
      <c r="A198" t="inlineStr">
        <is>
          <t>CON-197</t>
        </is>
      </c>
      <c r="B198" t="inlineStr">
        <is>
          <t>Bihar</t>
        </is>
      </c>
      <c r="C198" t="inlineStr">
        <is>
          <t>Bihar_Dist_197</t>
        </is>
      </c>
      <c r="D198" t="inlineStr">
        <is>
          <t>SC</t>
        </is>
      </c>
      <c r="E198" s="14" t="n">
        <v>1891</v>
      </c>
      <c r="F198" s="14" t="n">
        <v>2721</v>
      </c>
      <c r="G198" s="15" t="n">
        <v>54.41</v>
      </c>
      <c r="H198" t="n">
        <v>1</v>
      </c>
      <c r="I198" s="14" t="n">
        <v>2200</v>
      </c>
      <c r="J198" s="15" t="n">
        <v>1.24</v>
      </c>
      <c r="K198" s="15" t="n">
        <v>24</v>
      </c>
      <c r="L198" s="15" t="inlineStr">
        <is>
          <t>Balanced</t>
        </is>
      </c>
      <c r="M198" s="15">
        <f>IFERROR((F198-E198)/E198*100,0)</f>
        <v/>
      </c>
      <c r="N198" s="14">
        <f>F198-I198</f>
        <v/>
      </c>
      <c r="O198" s="14" t="n"/>
    </row>
    <row r="199">
      <c r="A199" t="inlineStr">
        <is>
          <t>CON-198</t>
        </is>
      </c>
      <c r="B199" t="inlineStr">
        <is>
          <t>West Bengal</t>
        </is>
      </c>
      <c r="C199" t="inlineStr">
        <is>
          <t>West_Dist_198</t>
        </is>
      </c>
      <c r="D199" t="inlineStr">
        <is>
          <t>ST</t>
        </is>
      </c>
      <c r="E199" s="14" t="n">
        <v>1543</v>
      </c>
      <c r="F199" s="14" t="n">
        <v>2107</v>
      </c>
      <c r="G199" s="15" t="n">
        <v>59.12</v>
      </c>
      <c r="H199" t="n">
        <v>1</v>
      </c>
      <c r="I199" s="14" t="n">
        <v>2200</v>
      </c>
      <c r="J199" s="15" t="n">
        <v>0.96</v>
      </c>
      <c r="K199" s="15" t="n">
        <v>4</v>
      </c>
      <c r="L199" s="15" t="inlineStr">
        <is>
          <t>Balanced</t>
        </is>
      </c>
      <c r="M199" s="15">
        <f>IFERROR((F199-E199)/E199*100,0)</f>
        <v/>
      </c>
      <c r="N199" s="14">
        <f>F199-I199</f>
        <v/>
      </c>
      <c r="O199" s="14" t="n"/>
    </row>
    <row r="200">
      <c r="A200" t="inlineStr">
        <is>
          <t>CON-199</t>
        </is>
      </c>
      <c r="B200" t="inlineStr">
        <is>
          <t>Tamil Nadu</t>
        </is>
      </c>
      <c r="C200" t="inlineStr">
        <is>
          <t>Tamil_Dist_199</t>
        </is>
      </c>
      <c r="D200" t="inlineStr">
        <is>
          <t>General</t>
        </is>
      </c>
      <c r="E200" s="14" t="n">
        <v>2567</v>
      </c>
      <c r="F200" s="14" t="n">
        <v>4168</v>
      </c>
      <c r="G200" s="15" t="n">
        <v>52.8</v>
      </c>
      <c r="H200" t="n">
        <v>1</v>
      </c>
      <c r="I200" s="14" t="n">
        <v>2200</v>
      </c>
      <c r="J200" s="15" t="n">
        <v>1.89</v>
      </c>
      <c r="K200" s="15" t="n">
        <v>89</v>
      </c>
      <c r="L200" s="15" t="inlineStr">
        <is>
          <t>Under-represented</t>
        </is>
      </c>
      <c r="M200" s="15">
        <f>IFERROR((F200-E200)/E200*100,0)</f>
        <v/>
      </c>
      <c r="N200" s="14">
        <f>F200-I200</f>
        <v/>
      </c>
      <c r="O200" s="14" t="n"/>
    </row>
    <row r="201">
      <c r="A201" t="inlineStr">
        <is>
          <t>CON-200</t>
        </is>
      </c>
      <c r="B201" t="inlineStr">
        <is>
          <t>Uttar Pradesh</t>
        </is>
      </c>
      <c r="C201" t="inlineStr">
        <is>
          <t>Uttar_Dist_200</t>
        </is>
      </c>
      <c r="D201" t="inlineStr">
        <is>
          <t>General</t>
        </is>
      </c>
      <c r="E201" s="14" t="n">
        <v>2704</v>
      </c>
      <c r="F201" s="14" t="n">
        <v>4488</v>
      </c>
      <c r="G201" s="15" t="n">
        <v>84.22</v>
      </c>
      <c r="H201" t="n">
        <v>1</v>
      </c>
      <c r="I201" s="14" t="n">
        <v>2200</v>
      </c>
      <c r="J201" s="15" t="n">
        <v>2.04</v>
      </c>
      <c r="K201" s="15" t="n">
        <v>104</v>
      </c>
      <c r="L201" s="15" t="inlineStr">
        <is>
          <t>Under-represented</t>
        </is>
      </c>
      <c r="M201" s="15">
        <f>IFERROR((F201-E201)/E201*100,0)</f>
        <v/>
      </c>
      <c r="N201" s="14">
        <f>F201-I201</f>
        <v/>
      </c>
      <c r="O201" s="14" t="n"/>
    </row>
    <row r="202">
      <c r="A202" t="inlineStr">
        <is>
          <t>CON-201</t>
        </is>
      </c>
      <c r="B202" t="inlineStr">
        <is>
          <t>Kerala</t>
        </is>
      </c>
      <c r="C202" t="inlineStr">
        <is>
          <t>Kerala_Dist_201</t>
        </is>
      </c>
      <c r="D202" t="inlineStr">
        <is>
          <t>SC</t>
        </is>
      </c>
      <c r="E202" s="14" t="n">
        <v>1408</v>
      </c>
      <c r="F202" s="14" t="n">
        <v>2299</v>
      </c>
      <c r="G202" s="15" t="n">
        <v>59.98</v>
      </c>
      <c r="H202" t="n">
        <v>1</v>
      </c>
      <c r="I202" s="14" t="n">
        <v>2200</v>
      </c>
      <c r="J202" s="15" t="n">
        <v>1.04</v>
      </c>
      <c r="K202" s="15" t="n">
        <v>4</v>
      </c>
      <c r="L202" s="15" t="inlineStr">
        <is>
          <t>Balanced</t>
        </is>
      </c>
      <c r="M202" s="15">
        <f>IFERROR((F202-E202)/E202*100,0)</f>
        <v/>
      </c>
      <c r="N202" s="14">
        <f>F202-I202</f>
        <v/>
      </c>
      <c r="O202" s="14" t="n"/>
    </row>
    <row r="203">
      <c r="A203" t="inlineStr">
        <is>
          <t>CON-202</t>
        </is>
      </c>
      <c r="B203" t="inlineStr">
        <is>
          <t>Bihar</t>
        </is>
      </c>
      <c r="C203" t="inlineStr">
        <is>
          <t>Bihar_Dist_202</t>
        </is>
      </c>
      <c r="D203" t="inlineStr">
        <is>
          <t>General</t>
        </is>
      </c>
      <c r="E203" s="14" t="n">
        <v>1314</v>
      </c>
      <c r="F203" s="14" t="n">
        <v>1910</v>
      </c>
      <c r="G203" s="15" t="n">
        <v>58.03</v>
      </c>
      <c r="H203" t="n">
        <v>1</v>
      </c>
      <c r="I203" s="14" t="n">
        <v>2200</v>
      </c>
      <c r="J203" s="15" t="n">
        <v>0.87</v>
      </c>
      <c r="K203" s="15" t="n">
        <v>13</v>
      </c>
      <c r="L203" s="15" t="inlineStr">
        <is>
          <t>Balanced</t>
        </is>
      </c>
      <c r="M203" s="15">
        <f>IFERROR((F203-E203)/E203*100,0)</f>
        <v/>
      </c>
      <c r="N203" s="14">
        <f>F203-I203</f>
        <v/>
      </c>
      <c r="O203" s="14" t="n"/>
    </row>
    <row r="204">
      <c r="A204" t="inlineStr">
        <is>
          <t>CON-203</t>
        </is>
      </c>
      <c r="B204" t="inlineStr">
        <is>
          <t>Maharashtra</t>
        </is>
      </c>
      <c r="C204" t="inlineStr">
        <is>
          <t>Maharashtra_Dist_203</t>
        </is>
      </c>
      <c r="D204" t="inlineStr">
        <is>
          <t>General</t>
        </is>
      </c>
      <c r="E204" s="14" t="n">
        <v>3454</v>
      </c>
      <c r="F204" s="14" t="n">
        <v>4573</v>
      </c>
      <c r="G204" s="15" t="n">
        <v>75.69</v>
      </c>
      <c r="H204" t="n">
        <v>1</v>
      </c>
      <c r="I204" s="14" t="n">
        <v>2200</v>
      </c>
      <c r="J204" s="15" t="n">
        <v>2.08</v>
      </c>
      <c r="K204" s="15" t="n">
        <v>108</v>
      </c>
      <c r="L204" s="15" t="inlineStr">
        <is>
          <t>Under-represented</t>
        </is>
      </c>
      <c r="M204" s="15">
        <f>IFERROR((F204-E204)/E204*100,0)</f>
        <v/>
      </c>
      <c r="N204" s="14">
        <f>F204-I204</f>
        <v/>
      </c>
      <c r="O204" s="14" t="n"/>
    </row>
    <row r="205">
      <c r="A205" t="inlineStr">
        <is>
          <t>CON-204</t>
        </is>
      </c>
      <c r="B205" t="inlineStr">
        <is>
          <t>Maharashtra</t>
        </is>
      </c>
      <c r="C205" t="inlineStr">
        <is>
          <t>Maharashtra_Dist_204</t>
        </is>
      </c>
      <c r="D205" t="inlineStr">
        <is>
          <t>ST</t>
        </is>
      </c>
      <c r="E205" s="14" t="n">
        <v>1979</v>
      </c>
      <c r="F205" s="14" t="n">
        <v>3414</v>
      </c>
      <c r="G205" s="15" t="n">
        <v>70.09</v>
      </c>
      <c r="H205" t="n">
        <v>1</v>
      </c>
      <c r="I205" s="14" t="n">
        <v>2200</v>
      </c>
      <c r="J205" s="15" t="n">
        <v>1.55</v>
      </c>
      <c r="K205" s="15" t="n">
        <v>55</v>
      </c>
      <c r="L205" s="15" t="inlineStr">
        <is>
          <t>Under-represented</t>
        </is>
      </c>
      <c r="M205" s="15">
        <f>IFERROR((F205-E205)/E205*100,0)</f>
        <v/>
      </c>
      <c r="N205" s="14">
        <f>F205-I205</f>
        <v/>
      </c>
      <c r="O205" s="14" t="n"/>
    </row>
    <row r="206">
      <c r="A206" t="inlineStr">
        <is>
          <t>CON-205</t>
        </is>
      </c>
      <c r="B206" t="inlineStr">
        <is>
          <t>Tamil Nadu</t>
        </is>
      </c>
      <c r="C206" t="inlineStr">
        <is>
          <t>Tamil_Dist_205</t>
        </is>
      </c>
      <c r="D206" t="inlineStr">
        <is>
          <t>General</t>
        </is>
      </c>
      <c r="E206" s="14" t="n">
        <v>1770</v>
      </c>
      <c r="F206" s="14" t="n">
        <v>2451</v>
      </c>
      <c r="G206" s="15" t="n">
        <v>70.08</v>
      </c>
      <c r="H206" t="n">
        <v>1</v>
      </c>
      <c r="I206" s="14" t="n">
        <v>2200</v>
      </c>
      <c r="J206" s="15" t="n">
        <v>1.11</v>
      </c>
      <c r="K206" s="15" t="n">
        <v>11</v>
      </c>
      <c r="L206" s="15" t="inlineStr">
        <is>
          <t>Balanced</t>
        </is>
      </c>
      <c r="M206" s="15">
        <f>IFERROR((F206-E206)/E206*100,0)</f>
        <v/>
      </c>
      <c r="N206" s="14">
        <f>F206-I206</f>
        <v/>
      </c>
      <c r="O206" s="14" t="n"/>
    </row>
    <row r="207">
      <c r="A207" t="inlineStr">
        <is>
          <t>CON-206</t>
        </is>
      </c>
      <c r="B207" t="inlineStr">
        <is>
          <t>Kerala</t>
        </is>
      </c>
      <c r="C207" t="inlineStr">
        <is>
          <t>Kerala_Dist_206</t>
        </is>
      </c>
      <c r="D207" t="inlineStr">
        <is>
          <t>General</t>
        </is>
      </c>
      <c r="E207" s="14" t="n">
        <v>2150</v>
      </c>
      <c r="F207" s="14" t="n">
        <v>3351</v>
      </c>
      <c r="G207" s="15" t="n">
        <v>63.4</v>
      </c>
      <c r="H207" t="n">
        <v>1</v>
      </c>
      <c r="I207" s="14" t="n">
        <v>2200</v>
      </c>
      <c r="J207" s="15" t="n">
        <v>1.52</v>
      </c>
      <c r="K207" s="15" t="n">
        <v>52</v>
      </c>
      <c r="L207" s="15" t="inlineStr">
        <is>
          <t>Under-represented</t>
        </is>
      </c>
      <c r="M207" s="15">
        <f>IFERROR((F207-E207)/E207*100,0)</f>
        <v/>
      </c>
      <c r="N207" s="14">
        <f>F207-I207</f>
        <v/>
      </c>
      <c r="O207" s="14" t="n"/>
    </row>
    <row r="208">
      <c r="A208" t="inlineStr">
        <is>
          <t>CON-207</t>
        </is>
      </c>
      <c r="B208" t="inlineStr">
        <is>
          <t>Uttar Pradesh</t>
        </is>
      </c>
      <c r="C208" t="inlineStr">
        <is>
          <t>Uttar_Dist_207</t>
        </is>
      </c>
      <c r="D208" t="inlineStr">
        <is>
          <t>General</t>
        </is>
      </c>
      <c r="E208" s="14" t="n">
        <v>1498</v>
      </c>
      <c r="F208" s="14" t="n">
        <v>2457</v>
      </c>
      <c r="G208" s="15" t="n">
        <v>58.63</v>
      </c>
      <c r="H208" t="n">
        <v>1</v>
      </c>
      <c r="I208" s="14" t="n">
        <v>2200</v>
      </c>
      <c r="J208" s="15" t="n">
        <v>1.12</v>
      </c>
      <c r="K208" s="15" t="n">
        <v>12</v>
      </c>
      <c r="L208" s="15" t="inlineStr">
        <is>
          <t>Balanced</t>
        </is>
      </c>
      <c r="M208" s="15">
        <f>IFERROR((F208-E208)/E208*100,0)</f>
        <v/>
      </c>
      <c r="N208" s="14">
        <f>F208-I208</f>
        <v/>
      </c>
      <c r="O208" s="14" t="n"/>
    </row>
    <row r="209">
      <c r="A209" t="inlineStr">
        <is>
          <t>CON-208</t>
        </is>
      </c>
      <c r="B209" t="inlineStr">
        <is>
          <t>West Bengal</t>
        </is>
      </c>
      <c r="C209" t="inlineStr">
        <is>
          <t>West_Dist_208</t>
        </is>
      </c>
      <c r="D209" t="inlineStr">
        <is>
          <t>General</t>
        </is>
      </c>
      <c r="E209" s="14" t="n">
        <v>2556</v>
      </c>
      <c r="F209" s="14" t="n">
        <v>3575</v>
      </c>
      <c r="G209" s="15" t="n">
        <v>66</v>
      </c>
      <c r="H209" t="n">
        <v>1</v>
      </c>
      <c r="I209" s="14" t="n">
        <v>2200</v>
      </c>
      <c r="J209" s="15" t="n">
        <v>1.62</v>
      </c>
      <c r="K209" s="15" t="n">
        <v>62</v>
      </c>
      <c r="L209" s="15" t="inlineStr">
        <is>
          <t>Under-represented</t>
        </is>
      </c>
      <c r="M209" s="15">
        <f>IFERROR((F209-E209)/E209*100,0)</f>
        <v/>
      </c>
      <c r="N209" s="14">
        <f>F209-I209</f>
        <v/>
      </c>
      <c r="O209" s="14" t="n"/>
    </row>
    <row r="210">
      <c r="A210" t="inlineStr">
        <is>
          <t>CON-209</t>
        </is>
      </c>
      <c r="B210" t="inlineStr">
        <is>
          <t>Bihar</t>
        </is>
      </c>
      <c r="C210" t="inlineStr">
        <is>
          <t>Bihar_Dist_209</t>
        </is>
      </c>
      <c r="D210" t="inlineStr">
        <is>
          <t>General</t>
        </is>
      </c>
      <c r="E210" s="14" t="n">
        <v>1808</v>
      </c>
      <c r="F210" s="14" t="n">
        <v>2773</v>
      </c>
      <c r="G210" s="15" t="n">
        <v>74.17</v>
      </c>
      <c r="H210" t="n">
        <v>1</v>
      </c>
      <c r="I210" s="14" t="n">
        <v>2200</v>
      </c>
      <c r="J210" s="15" t="n">
        <v>1.26</v>
      </c>
      <c r="K210" s="15" t="n">
        <v>26</v>
      </c>
      <c r="L210" s="15" t="inlineStr">
        <is>
          <t>Under-represented</t>
        </is>
      </c>
      <c r="M210" s="15">
        <f>IFERROR((F210-E210)/E210*100,0)</f>
        <v/>
      </c>
      <c r="N210" s="14">
        <f>F210-I210</f>
        <v/>
      </c>
      <c r="O210" s="14" t="n"/>
    </row>
    <row r="211">
      <c r="A211" t="inlineStr">
        <is>
          <t>CON-210</t>
        </is>
      </c>
      <c r="B211" t="inlineStr">
        <is>
          <t>Gujarat</t>
        </is>
      </c>
      <c r="C211" t="inlineStr">
        <is>
          <t>Gujarat_Dist_210</t>
        </is>
      </c>
      <c r="D211" t="inlineStr">
        <is>
          <t>SC</t>
        </is>
      </c>
      <c r="E211" s="14" t="n">
        <v>2351</v>
      </c>
      <c r="F211" s="14" t="n">
        <v>3224</v>
      </c>
      <c r="G211" s="15" t="n">
        <v>77.72</v>
      </c>
      <c r="H211" t="n">
        <v>1</v>
      </c>
      <c r="I211" s="14" t="n">
        <v>2200</v>
      </c>
      <c r="J211" s="15" t="n">
        <v>1.47</v>
      </c>
      <c r="K211" s="15" t="n">
        <v>47</v>
      </c>
      <c r="L211" s="15" t="inlineStr">
        <is>
          <t>Under-represented</t>
        </is>
      </c>
      <c r="M211" s="15">
        <f>IFERROR((F211-E211)/E211*100,0)</f>
        <v/>
      </c>
      <c r="N211" s="14">
        <f>F211-I211</f>
        <v/>
      </c>
      <c r="O211" s="14" t="n"/>
    </row>
    <row r="212">
      <c r="A212" t="inlineStr">
        <is>
          <t>CON-211</t>
        </is>
      </c>
      <c r="B212" t="inlineStr">
        <is>
          <t>West Bengal</t>
        </is>
      </c>
      <c r="C212" t="inlineStr">
        <is>
          <t>West_Dist_211</t>
        </is>
      </c>
      <c r="D212" t="inlineStr">
        <is>
          <t>General</t>
        </is>
      </c>
      <c r="E212" s="14" t="n">
        <v>2620</v>
      </c>
      <c r="F212" s="14" t="n">
        <v>3963</v>
      </c>
      <c r="G212" s="15" t="n">
        <v>79.76000000000001</v>
      </c>
      <c r="H212" t="n">
        <v>1</v>
      </c>
      <c r="I212" s="14" t="n">
        <v>2200</v>
      </c>
      <c r="J212" s="15" t="n">
        <v>1.8</v>
      </c>
      <c r="K212" s="15" t="n">
        <v>80</v>
      </c>
      <c r="L212" s="15" t="inlineStr">
        <is>
          <t>Under-represented</t>
        </is>
      </c>
      <c r="M212" s="15">
        <f>IFERROR((F212-E212)/E212*100,0)</f>
        <v/>
      </c>
      <c r="N212" s="14">
        <f>F212-I212</f>
        <v/>
      </c>
      <c r="O212" s="14" t="n"/>
    </row>
    <row r="213">
      <c r="A213" t="inlineStr">
        <is>
          <t>CON-212</t>
        </is>
      </c>
      <c r="B213" t="inlineStr">
        <is>
          <t>Maharashtra</t>
        </is>
      </c>
      <c r="C213" t="inlineStr">
        <is>
          <t>Maharashtra_Dist_212</t>
        </is>
      </c>
      <c r="D213" t="inlineStr">
        <is>
          <t>General</t>
        </is>
      </c>
      <c r="E213" s="14" t="n">
        <v>2712</v>
      </c>
      <c r="F213" s="14" t="n">
        <v>4622</v>
      </c>
      <c r="G213" s="15" t="n">
        <v>52.21</v>
      </c>
      <c r="H213" t="n">
        <v>1</v>
      </c>
      <c r="I213" s="14" t="n">
        <v>2200</v>
      </c>
      <c r="J213" s="15" t="n">
        <v>2.1</v>
      </c>
      <c r="K213" s="15" t="n">
        <v>110</v>
      </c>
      <c r="L213" s="15" t="inlineStr">
        <is>
          <t>Under-represented</t>
        </is>
      </c>
      <c r="M213" s="15">
        <f>IFERROR((F213-E213)/E213*100,0)</f>
        <v/>
      </c>
      <c r="N213" s="14">
        <f>F213-I213</f>
        <v/>
      </c>
      <c r="O213" s="14" t="n"/>
    </row>
    <row r="214">
      <c r="A214" t="inlineStr">
        <is>
          <t>CON-213</t>
        </is>
      </c>
      <c r="B214" t="inlineStr">
        <is>
          <t>Gujarat</t>
        </is>
      </c>
      <c r="C214" t="inlineStr">
        <is>
          <t>Gujarat_Dist_213</t>
        </is>
      </c>
      <c r="D214" t="inlineStr">
        <is>
          <t>General</t>
        </is>
      </c>
      <c r="E214" s="14" t="n">
        <v>2560</v>
      </c>
      <c r="F214" s="14" t="n">
        <v>3700</v>
      </c>
      <c r="G214" s="15" t="n">
        <v>53.18</v>
      </c>
      <c r="H214" t="n">
        <v>1</v>
      </c>
      <c r="I214" s="14" t="n">
        <v>2200</v>
      </c>
      <c r="J214" s="15" t="n">
        <v>1.68</v>
      </c>
      <c r="K214" s="15" t="n">
        <v>68</v>
      </c>
      <c r="L214" s="15" t="inlineStr">
        <is>
          <t>Under-represented</t>
        </is>
      </c>
      <c r="M214" s="15">
        <f>IFERROR((F214-E214)/E214*100,0)</f>
        <v/>
      </c>
      <c r="N214" s="14">
        <f>F214-I214</f>
        <v/>
      </c>
      <c r="O214" s="14" t="n"/>
    </row>
    <row r="215">
      <c r="A215" t="inlineStr">
        <is>
          <t>CON-214</t>
        </is>
      </c>
      <c r="B215" t="inlineStr">
        <is>
          <t>Telangana</t>
        </is>
      </c>
      <c r="C215" t="inlineStr">
        <is>
          <t>Telangana_Dist_214</t>
        </is>
      </c>
      <c r="D215" t="inlineStr">
        <is>
          <t>General</t>
        </is>
      </c>
      <c r="E215" s="14" t="n">
        <v>2956</v>
      </c>
      <c r="F215" s="14" t="n">
        <v>4896</v>
      </c>
      <c r="G215" s="15" t="n">
        <v>79.43000000000001</v>
      </c>
      <c r="H215" t="n">
        <v>1</v>
      </c>
      <c r="I215" s="14" t="n">
        <v>2200</v>
      </c>
      <c r="J215" s="15" t="n">
        <v>2.23</v>
      </c>
      <c r="K215" s="15" t="n">
        <v>123</v>
      </c>
      <c r="L215" s="15" t="inlineStr">
        <is>
          <t>Under-represented</t>
        </is>
      </c>
      <c r="M215" s="15">
        <f>IFERROR((F215-E215)/E215*100,0)</f>
        <v/>
      </c>
      <c r="N215" s="14">
        <f>F215-I215</f>
        <v/>
      </c>
      <c r="O215" s="14" t="n"/>
    </row>
    <row r="216">
      <c r="A216" t="inlineStr">
        <is>
          <t>CON-215</t>
        </is>
      </c>
      <c r="B216" t="inlineStr">
        <is>
          <t>Tamil Nadu</t>
        </is>
      </c>
      <c r="C216" t="inlineStr">
        <is>
          <t>Tamil_Dist_215</t>
        </is>
      </c>
      <c r="D216" t="inlineStr">
        <is>
          <t>General</t>
        </is>
      </c>
      <c r="E216" s="14" t="n">
        <v>1638</v>
      </c>
      <c r="F216" s="14" t="n">
        <v>2165</v>
      </c>
      <c r="G216" s="15" t="n">
        <v>65.59</v>
      </c>
      <c r="H216" t="n">
        <v>1</v>
      </c>
      <c r="I216" s="14" t="n">
        <v>2200</v>
      </c>
      <c r="J216" s="15" t="n">
        <v>0.98</v>
      </c>
      <c r="K216" s="15" t="n">
        <v>2</v>
      </c>
      <c r="L216" s="15" t="inlineStr">
        <is>
          <t>Balanced</t>
        </is>
      </c>
      <c r="M216" s="15">
        <f>IFERROR((F216-E216)/E216*100,0)</f>
        <v/>
      </c>
      <c r="N216" s="14">
        <f>F216-I216</f>
        <v/>
      </c>
      <c r="O216" s="14" t="n"/>
    </row>
    <row r="217">
      <c r="A217" t="inlineStr">
        <is>
          <t>CON-216</t>
        </is>
      </c>
      <c r="B217" t="inlineStr">
        <is>
          <t>Tamil Nadu</t>
        </is>
      </c>
      <c r="C217" t="inlineStr">
        <is>
          <t>Tamil_Dist_216</t>
        </is>
      </c>
      <c r="D217" t="inlineStr">
        <is>
          <t>General</t>
        </is>
      </c>
      <c r="E217" s="14" t="n">
        <v>3688</v>
      </c>
      <c r="F217" s="14" t="n">
        <v>5540</v>
      </c>
      <c r="G217" s="15" t="n">
        <v>78.20999999999999</v>
      </c>
      <c r="H217" t="n">
        <v>1</v>
      </c>
      <c r="I217" s="14" t="n">
        <v>2200</v>
      </c>
      <c r="J217" s="15" t="n">
        <v>2.52</v>
      </c>
      <c r="K217" s="15" t="n">
        <v>152</v>
      </c>
      <c r="L217" s="15" t="inlineStr">
        <is>
          <t>Under-represented</t>
        </is>
      </c>
      <c r="M217" s="15">
        <f>IFERROR((F217-E217)/E217*100,0)</f>
        <v/>
      </c>
      <c r="N217" s="14">
        <f>F217-I217</f>
        <v/>
      </c>
      <c r="O217" s="14" t="n"/>
    </row>
    <row r="218">
      <c r="A218" t="inlineStr">
        <is>
          <t>CON-217</t>
        </is>
      </c>
      <c r="B218" t="inlineStr">
        <is>
          <t>Bihar</t>
        </is>
      </c>
      <c r="C218" t="inlineStr">
        <is>
          <t>Bihar_Dist_217</t>
        </is>
      </c>
      <c r="D218" t="inlineStr">
        <is>
          <t>General</t>
        </is>
      </c>
      <c r="E218" s="14" t="n">
        <v>3011</v>
      </c>
      <c r="F218" s="14" t="n">
        <v>5174</v>
      </c>
      <c r="G218" s="15" t="n">
        <v>65.16</v>
      </c>
      <c r="H218" t="n">
        <v>1</v>
      </c>
      <c r="I218" s="14" t="n">
        <v>2200</v>
      </c>
      <c r="J218" s="15" t="n">
        <v>2.35</v>
      </c>
      <c r="K218" s="15" t="n">
        <v>135</v>
      </c>
      <c r="L218" s="15" t="inlineStr">
        <is>
          <t>Under-represented</t>
        </is>
      </c>
      <c r="M218" s="15">
        <f>IFERROR((F218-E218)/E218*100,0)</f>
        <v/>
      </c>
      <c r="N218" s="14">
        <f>F218-I218</f>
        <v/>
      </c>
      <c r="O218" s="14" t="n"/>
    </row>
    <row r="219">
      <c r="A219" t="inlineStr">
        <is>
          <t>CON-218</t>
        </is>
      </c>
      <c r="B219" t="inlineStr">
        <is>
          <t>West Bengal</t>
        </is>
      </c>
      <c r="C219" t="inlineStr">
        <is>
          <t>West_Dist_218</t>
        </is>
      </c>
      <c r="D219" t="inlineStr">
        <is>
          <t>SC</t>
        </is>
      </c>
      <c r="E219" s="14" t="n">
        <v>1443</v>
      </c>
      <c r="F219" s="14" t="n">
        <v>1822</v>
      </c>
      <c r="G219" s="15" t="n">
        <v>69.86</v>
      </c>
      <c r="H219" t="n">
        <v>1</v>
      </c>
      <c r="I219" s="14" t="n">
        <v>2200</v>
      </c>
      <c r="J219" s="15" t="n">
        <v>0.83</v>
      </c>
      <c r="K219" s="15" t="n">
        <v>17</v>
      </c>
      <c r="L219" s="15" t="inlineStr">
        <is>
          <t>Balanced</t>
        </is>
      </c>
      <c r="M219" s="15">
        <f>IFERROR((F219-E219)/E219*100,0)</f>
        <v/>
      </c>
      <c r="N219" s="14">
        <f>F219-I219</f>
        <v/>
      </c>
      <c r="O219" s="14" t="n"/>
    </row>
    <row r="220">
      <c r="A220" t="inlineStr">
        <is>
          <t>CON-219</t>
        </is>
      </c>
      <c r="B220" t="inlineStr">
        <is>
          <t>Karnataka</t>
        </is>
      </c>
      <c r="C220" t="inlineStr">
        <is>
          <t>Karnataka_Dist_219</t>
        </is>
      </c>
      <c r="D220" t="inlineStr">
        <is>
          <t>ST</t>
        </is>
      </c>
      <c r="E220" s="14" t="n">
        <v>1771</v>
      </c>
      <c r="F220" s="14" t="n">
        <v>3035</v>
      </c>
      <c r="G220" s="15" t="n">
        <v>56.67</v>
      </c>
      <c r="H220" t="n">
        <v>1</v>
      </c>
      <c r="I220" s="14" t="n">
        <v>2200</v>
      </c>
      <c r="J220" s="15" t="n">
        <v>1.38</v>
      </c>
      <c r="K220" s="15" t="n">
        <v>38</v>
      </c>
      <c r="L220" s="15" t="inlineStr">
        <is>
          <t>Under-represented</t>
        </is>
      </c>
      <c r="M220" s="15">
        <f>IFERROR((F220-E220)/E220*100,0)</f>
        <v/>
      </c>
      <c r="N220" s="14">
        <f>F220-I220</f>
        <v/>
      </c>
      <c r="O220" s="14" t="n"/>
    </row>
    <row r="221">
      <c r="A221" t="inlineStr">
        <is>
          <t>CON-220</t>
        </is>
      </c>
      <c r="B221" t="inlineStr">
        <is>
          <t>Gujarat</t>
        </is>
      </c>
      <c r="C221" t="inlineStr">
        <is>
          <t>Gujarat_Dist_220</t>
        </is>
      </c>
      <c r="D221" t="inlineStr">
        <is>
          <t>General</t>
        </is>
      </c>
      <c r="E221" s="14" t="n">
        <v>2977</v>
      </c>
      <c r="F221" s="14" t="n">
        <v>4160</v>
      </c>
      <c r="G221" s="15" t="n">
        <v>70.77</v>
      </c>
      <c r="H221" t="n">
        <v>1</v>
      </c>
      <c r="I221" s="14" t="n">
        <v>2200</v>
      </c>
      <c r="J221" s="15" t="n">
        <v>1.89</v>
      </c>
      <c r="K221" s="15" t="n">
        <v>89</v>
      </c>
      <c r="L221" s="15" t="inlineStr">
        <is>
          <t>Under-represented</t>
        </is>
      </c>
      <c r="M221" s="15">
        <f>IFERROR((F221-E221)/E221*100,0)</f>
        <v/>
      </c>
      <c r="N221" s="14">
        <f>F221-I221</f>
        <v/>
      </c>
      <c r="O221" s="14" t="n"/>
    </row>
    <row r="222">
      <c r="A222" t="inlineStr">
        <is>
          <t>CON-221</t>
        </is>
      </c>
      <c r="B222" t="inlineStr">
        <is>
          <t>Telangana</t>
        </is>
      </c>
      <c r="C222" t="inlineStr">
        <is>
          <t>Telangana_Dist_221</t>
        </is>
      </c>
      <c r="D222" t="inlineStr">
        <is>
          <t>General</t>
        </is>
      </c>
      <c r="E222" s="14" t="n">
        <v>3695</v>
      </c>
      <c r="F222" s="14" t="n">
        <v>5916</v>
      </c>
      <c r="G222" s="15" t="n">
        <v>65.04000000000001</v>
      </c>
      <c r="H222" t="n">
        <v>1</v>
      </c>
      <c r="I222" s="14" t="n">
        <v>2200</v>
      </c>
      <c r="J222" s="15" t="n">
        <v>2.69</v>
      </c>
      <c r="K222" s="15" t="n">
        <v>169</v>
      </c>
      <c r="L222" s="15" t="inlineStr">
        <is>
          <t>Under-represented</t>
        </is>
      </c>
      <c r="M222" s="15">
        <f>IFERROR((F222-E222)/E222*100,0)</f>
        <v/>
      </c>
      <c r="N222" s="14">
        <f>F222-I222</f>
        <v/>
      </c>
      <c r="O222" s="14" t="n"/>
    </row>
    <row r="223">
      <c r="A223" t="inlineStr">
        <is>
          <t>CON-222</t>
        </is>
      </c>
      <c r="B223" t="inlineStr">
        <is>
          <t>Andhra Pradesh</t>
        </is>
      </c>
      <c r="C223" t="inlineStr">
        <is>
          <t>Andhra_Dist_222</t>
        </is>
      </c>
      <c r="D223" t="inlineStr">
        <is>
          <t>General</t>
        </is>
      </c>
      <c r="E223" s="14" t="n">
        <v>2493</v>
      </c>
      <c r="F223" s="14" t="n">
        <v>4174</v>
      </c>
      <c r="G223" s="15" t="n">
        <v>70.8</v>
      </c>
      <c r="H223" t="n">
        <v>1</v>
      </c>
      <c r="I223" s="14" t="n">
        <v>2200</v>
      </c>
      <c r="J223" s="15" t="n">
        <v>1.9</v>
      </c>
      <c r="K223" s="15" t="n">
        <v>90</v>
      </c>
      <c r="L223" s="15" t="inlineStr">
        <is>
          <t>Under-represented</t>
        </is>
      </c>
      <c r="M223" s="15">
        <f>IFERROR((F223-E223)/E223*100,0)</f>
        <v/>
      </c>
      <c r="N223" s="14">
        <f>F223-I223</f>
        <v/>
      </c>
      <c r="O223" s="14" t="n"/>
    </row>
    <row r="224">
      <c r="A224" t="inlineStr">
        <is>
          <t>CON-223</t>
        </is>
      </c>
      <c r="B224" t="inlineStr">
        <is>
          <t>Gujarat</t>
        </is>
      </c>
      <c r="C224" t="inlineStr">
        <is>
          <t>Gujarat_Dist_223</t>
        </is>
      </c>
      <c r="D224" t="inlineStr">
        <is>
          <t>General</t>
        </is>
      </c>
      <c r="E224" s="14" t="n">
        <v>3654</v>
      </c>
      <c r="F224" s="14" t="n">
        <v>5065</v>
      </c>
      <c r="G224" s="15" t="n">
        <v>79.92</v>
      </c>
      <c r="H224" t="n">
        <v>1</v>
      </c>
      <c r="I224" s="14" t="n">
        <v>2200</v>
      </c>
      <c r="J224" s="15" t="n">
        <v>2.3</v>
      </c>
      <c r="K224" s="15" t="n">
        <v>130</v>
      </c>
      <c r="L224" s="15" t="inlineStr">
        <is>
          <t>Under-represented</t>
        </is>
      </c>
      <c r="M224" s="15">
        <f>IFERROR((F224-E224)/E224*100,0)</f>
        <v/>
      </c>
      <c r="N224" s="14">
        <f>F224-I224</f>
        <v/>
      </c>
      <c r="O224" s="14" t="n"/>
    </row>
    <row r="225">
      <c r="A225" t="inlineStr">
        <is>
          <t>CON-224</t>
        </is>
      </c>
      <c r="B225" t="inlineStr">
        <is>
          <t>Bihar</t>
        </is>
      </c>
      <c r="C225" t="inlineStr">
        <is>
          <t>Bihar_Dist_224</t>
        </is>
      </c>
      <c r="D225" t="inlineStr">
        <is>
          <t>SC</t>
        </is>
      </c>
      <c r="E225" s="14" t="n">
        <v>1524</v>
      </c>
      <c r="F225" s="14" t="n">
        <v>2153</v>
      </c>
      <c r="G225" s="15" t="n">
        <v>67.70999999999999</v>
      </c>
      <c r="H225" t="n">
        <v>1</v>
      </c>
      <c r="I225" s="14" t="n">
        <v>2200</v>
      </c>
      <c r="J225" s="15" t="n">
        <v>0.98</v>
      </c>
      <c r="K225" s="15" t="n">
        <v>2</v>
      </c>
      <c r="L225" s="15" t="inlineStr">
        <is>
          <t>Balanced</t>
        </is>
      </c>
      <c r="M225" s="15">
        <f>IFERROR((F225-E225)/E225*100,0)</f>
        <v/>
      </c>
      <c r="N225" s="14">
        <f>F225-I225</f>
        <v/>
      </c>
      <c r="O225" s="14" t="n"/>
    </row>
    <row r="226">
      <c r="A226" t="inlineStr">
        <is>
          <t>CON-225</t>
        </is>
      </c>
      <c r="B226" t="inlineStr">
        <is>
          <t>West Bengal</t>
        </is>
      </c>
      <c r="C226" t="inlineStr">
        <is>
          <t>West_Dist_225</t>
        </is>
      </c>
      <c r="D226" t="inlineStr">
        <is>
          <t>General</t>
        </is>
      </c>
      <c r="E226" s="14" t="n">
        <v>2928</v>
      </c>
      <c r="F226" s="14" t="n">
        <v>4903</v>
      </c>
      <c r="G226" s="15" t="n">
        <v>57.41</v>
      </c>
      <c r="H226" t="n">
        <v>1</v>
      </c>
      <c r="I226" s="14" t="n">
        <v>2200</v>
      </c>
      <c r="J226" s="15" t="n">
        <v>2.23</v>
      </c>
      <c r="K226" s="15" t="n">
        <v>123</v>
      </c>
      <c r="L226" s="15" t="inlineStr">
        <is>
          <t>Under-represented</t>
        </is>
      </c>
      <c r="M226" s="15">
        <f>IFERROR((F226-E226)/E226*100,0)</f>
        <v/>
      </c>
      <c r="N226" s="14">
        <f>F226-I226</f>
        <v/>
      </c>
      <c r="O226" s="14" t="n"/>
    </row>
    <row r="227">
      <c r="A227" t="inlineStr">
        <is>
          <t>CON-226</t>
        </is>
      </c>
      <c r="B227" t="inlineStr">
        <is>
          <t>Andhra Pradesh</t>
        </is>
      </c>
      <c r="C227" t="inlineStr">
        <is>
          <t>Andhra_Dist_226</t>
        </is>
      </c>
      <c r="D227" t="inlineStr">
        <is>
          <t>ST</t>
        </is>
      </c>
      <c r="E227" s="14" t="n">
        <v>3535</v>
      </c>
      <c r="F227" s="14" t="n">
        <v>5300</v>
      </c>
      <c r="G227" s="15" t="n">
        <v>64.11</v>
      </c>
      <c r="H227" t="n">
        <v>1</v>
      </c>
      <c r="I227" s="14" t="n">
        <v>2200</v>
      </c>
      <c r="J227" s="15" t="n">
        <v>2.41</v>
      </c>
      <c r="K227" s="15" t="n">
        <v>141</v>
      </c>
      <c r="L227" s="15" t="inlineStr">
        <is>
          <t>Under-represented</t>
        </is>
      </c>
      <c r="M227" s="15">
        <f>IFERROR((F227-E227)/E227*100,0)</f>
        <v/>
      </c>
      <c r="N227" s="14">
        <f>F227-I227</f>
        <v/>
      </c>
      <c r="O227" s="14" t="n"/>
    </row>
    <row r="228">
      <c r="A228" t="inlineStr">
        <is>
          <t>CON-227</t>
        </is>
      </c>
      <c r="B228" t="inlineStr">
        <is>
          <t>Maharashtra</t>
        </is>
      </c>
      <c r="C228" t="inlineStr">
        <is>
          <t>Maharashtra_Dist_227</t>
        </is>
      </c>
      <c r="D228" t="inlineStr">
        <is>
          <t>General</t>
        </is>
      </c>
      <c r="E228" s="14" t="n">
        <v>2685</v>
      </c>
      <c r="F228" s="14" t="n">
        <v>4613</v>
      </c>
      <c r="G228" s="15" t="n">
        <v>80.86</v>
      </c>
      <c r="H228" t="n">
        <v>1</v>
      </c>
      <c r="I228" s="14" t="n">
        <v>2200</v>
      </c>
      <c r="J228" s="15" t="n">
        <v>2.1</v>
      </c>
      <c r="K228" s="15" t="n">
        <v>110</v>
      </c>
      <c r="L228" s="15" t="inlineStr">
        <is>
          <t>Under-represented</t>
        </is>
      </c>
      <c r="M228" s="15">
        <f>IFERROR((F228-E228)/E228*100,0)</f>
        <v/>
      </c>
      <c r="N228" s="14">
        <f>F228-I228</f>
        <v/>
      </c>
      <c r="O228" s="14" t="n"/>
    </row>
    <row r="229">
      <c r="A229" t="inlineStr">
        <is>
          <t>CON-228</t>
        </is>
      </c>
      <c r="B229" t="inlineStr">
        <is>
          <t>Karnataka</t>
        </is>
      </c>
      <c r="C229" t="inlineStr">
        <is>
          <t>Karnataka_Dist_228</t>
        </is>
      </c>
      <c r="D229" t="inlineStr">
        <is>
          <t>SC</t>
        </is>
      </c>
      <c r="E229" s="14" t="n">
        <v>3419</v>
      </c>
      <c r="F229" s="14" t="n">
        <v>5433</v>
      </c>
      <c r="G229" s="15" t="n">
        <v>77.86</v>
      </c>
      <c r="H229" t="n">
        <v>1</v>
      </c>
      <c r="I229" s="14" t="n">
        <v>2200</v>
      </c>
      <c r="J229" s="15" t="n">
        <v>2.47</v>
      </c>
      <c r="K229" s="15" t="n">
        <v>147</v>
      </c>
      <c r="L229" s="15" t="inlineStr">
        <is>
          <t>Under-represented</t>
        </is>
      </c>
      <c r="M229" s="15">
        <f>IFERROR((F229-E229)/E229*100,0)</f>
        <v/>
      </c>
      <c r="N229" s="14">
        <f>F229-I229</f>
        <v/>
      </c>
      <c r="O229" s="14" t="n"/>
    </row>
    <row r="230">
      <c r="A230" t="inlineStr">
        <is>
          <t>CON-229</t>
        </is>
      </c>
      <c r="B230" t="inlineStr">
        <is>
          <t>Uttar Pradesh</t>
        </is>
      </c>
      <c r="C230" t="inlineStr">
        <is>
          <t>Uttar_Dist_229</t>
        </is>
      </c>
      <c r="D230" t="inlineStr">
        <is>
          <t>SC</t>
        </is>
      </c>
      <c r="E230" s="14" t="n">
        <v>1306</v>
      </c>
      <c r="F230" s="14" t="n">
        <v>1841</v>
      </c>
      <c r="G230" s="15" t="n">
        <v>65.81</v>
      </c>
      <c r="H230" t="n">
        <v>1</v>
      </c>
      <c r="I230" s="14" t="n">
        <v>2200</v>
      </c>
      <c r="J230" s="15" t="n">
        <v>0.84</v>
      </c>
      <c r="K230" s="15" t="n">
        <v>16</v>
      </c>
      <c r="L230" s="15" t="inlineStr">
        <is>
          <t>Balanced</t>
        </is>
      </c>
      <c r="M230" s="15">
        <f>IFERROR((F230-E230)/E230*100,0)</f>
        <v/>
      </c>
      <c r="N230" s="14">
        <f>F230-I230</f>
        <v/>
      </c>
      <c r="O230" s="14" t="n"/>
    </row>
    <row r="231">
      <c r="A231" t="inlineStr">
        <is>
          <t>CON-230</t>
        </is>
      </c>
      <c r="B231" t="inlineStr">
        <is>
          <t>Uttar Pradesh</t>
        </is>
      </c>
      <c r="C231" t="inlineStr">
        <is>
          <t>Uttar_Dist_230</t>
        </is>
      </c>
      <c r="D231" t="inlineStr">
        <is>
          <t>General</t>
        </is>
      </c>
      <c r="E231" s="14" t="n">
        <v>3559</v>
      </c>
      <c r="F231" s="14" t="n">
        <v>5328</v>
      </c>
      <c r="G231" s="15" t="n">
        <v>82.70999999999999</v>
      </c>
      <c r="H231" t="n">
        <v>1</v>
      </c>
      <c r="I231" s="14" t="n">
        <v>2200</v>
      </c>
      <c r="J231" s="15" t="n">
        <v>2.42</v>
      </c>
      <c r="K231" s="15" t="n">
        <v>142</v>
      </c>
      <c r="L231" s="15" t="inlineStr">
        <is>
          <t>Under-represented</t>
        </is>
      </c>
      <c r="M231" s="15">
        <f>IFERROR((F231-E231)/E231*100,0)</f>
        <v/>
      </c>
      <c r="N231" s="14">
        <f>F231-I231</f>
        <v/>
      </c>
      <c r="O231" s="14" t="n"/>
    </row>
    <row r="232">
      <c r="A232" t="inlineStr">
        <is>
          <t>CON-231</t>
        </is>
      </c>
      <c r="B232" t="inlineStr">
        <is>
          <t>Karnataka</t>
        </is>
      </c>
      <c r="C232" t="inlineStr">
        <is>
          <t>Karnataka_Dist_231</t>
        </is>
      </c>
      <c r="D232" t="inlineStr">
        <is>
          <t>General</t>
        </is>
      </c>
      <c r="E232" s="14" t="n">
        <v>3665</v>
      </c>
      <c r="F232" s="14" t="n">
        <v>5537</v>
      </c>
      <c r="G232" s="15" t="n">
        <v>74.51000000000001</v>
      </c>
      <c r="H232" t="n">
        <v>1</v>
      </c>
      <c r="I232" s="14" t="n">
        <v>2200</v>
      </c>
      <c r="J232" s="15" t="n">
        <v>2.52</v>
      </c>
      <c r="K232" s="15" t="n">
        <v>152</v>
      </c>
      <c r="L232" s="15" t="inlineStr">
        <is>
          <t>Under-represented</t>
        </is>
      </c>
      <c r="M232" s="15">
        <f>IFERROR((F232-E232)/E232*100,0)</f>
        <v/>
      </c>
      <c r="N232" s="14">
        <f>F232-I232</f>
        <v/>
      </c>
      <c r="O232" s="14" t="n"/>
    </row>
    <row r="233">
      <c r="A233" t="inlineStr">
        <is>
          <t>CON-232</t>
        </is>
      </c>
      <c r="B233" t="inlineStr">
        <is>
          <t>Uttar Pradesh</t>
        </is>
      </c>
      <c r="C233" t="inlineStr">
        <is>
          <t>Uttar_Dist_232</t>
        </is>
      </c>
      <c r="D233" t="inlineStr">
        <is>
          <t>General</t>
        </is>
      </c>
      <c r="E233" s="14" t="n">
        <v>2638</v>
      </c>
      <c r="F233" s="14" t="n">
        <v>3306</v>
      </c>
      <c r="G233" s="15" t="n">
        <v>53.41</v>
      </c>
      <c r="H233" t="n">
        <v>1</v>
      </c>
      <c r="I233" s="14" t="n">
        <v>2200</v>
      </c>
      <c r="J233" s="15" t="n">
        <v>1.5</v>
      </c>
      <c r="K233" s="15" t="n">
        <v>50</v>
      </c>
      <c r="L233" s="15" t="inlineStr">
        <is>
          <t>Under-represented</t>
        </is>
      </c>
      <c r="M233" s="15">
        <f>IFERROR((F233-E233)/E233*100,0)</f>
        <v/>
      </c>
      <c r="N233" s="14">
        <f>F233-I233</f>
        <v/>
      </c>
      <c r="O233" s="14" t="n"/>
    </row>
    <row r="234">
      <c r="A234" t="inlineStr">
        <is>
          <t>CON-233</t>
        </is>
      </c>
      <c r="B234" t="inlineStr">
        <is>
          <t>Maharashtra</t>
        </is>
      </c>
      <c r="C234" t="inlineStr">
        <is>
          <t>Maharashtra_Dist_233</t>
        </is>
      </c>
      <c r="D234" t="inlineStr">
        <is>
          <t>General</t>
        </is>
      </c>
      <c r="E234" s="14" t="n">
        <v>3016</v>
      </c>
      <c r="F234" s="14" t="n">
        <v>4126</v>
      </c>
      <c r="G234" s="15" t="n">
        <v>83.77</v>
      </c>
      <c r="H234" t="n">
        <v>1</v>
      </c>
      <c r="I234" s="14" t="n">
        <v>2200</v>
      </c>
      <c r="J234" s="15" t="n">
        <v>1.88</v>
      </c>
      <c r="K234" s="15" t="n">
        <v>88</v>
      </c>
      <c r="L234" s="15" t="inlineStr">
        <is>
          <t>Under-represented</t>
        </is>
      </c>
      <c r="M234" s="15">
        <f>IFERROR((F234-E234)/E234*100,0)</f>
        <v/>
      </c>
      <c r="N234" s="14">
        <f>F234-I234</f>
        <v/>
      </c>
      <c r="O234" s="14" t="n"/>
    </row>
    <row r="235">
      <c r="A235" t="inlineStr">
        <is>
          <t>CON-234</t>
        </is>
      </c>
      <c r="B235" t="inlineStr">
        <is>
          <t>Tamil Nadu</t>
        </is>
      </c>
      <c r="C235" t="inlineStr">
        <is>
          <t>Tamil_Dist_234</t>
        </is>
      </c>
      <c r="D235" t="inlineStr">
        <is>
          <t>General</t>
        </is>
      </c>
      <c r="E235" s="14" t="n">
        <v>1907</v>
      </c>
      <c r="F235" s="14" t="n">
        <v>3253</v>
      </c>
      <c r="G235" s="15" t="n">
        <v>79.69</v>
      </c>
      <c r="H235" t="n">
        <v>1</v>
      </c>
      <c r="I235" s="14" t="n">
        <v>2200</v>
      </c>
      <c r="J235" s="15" t="n">
        <v>1.48</v>
      </c>
      <c r="K235" s="15" t="n">
        <v>48</v>
      </c>
      <c r="L235" s="15" t="inlineStr">
        <is>
          <t>Under-represented</t>
        </is>
      </c>
      <c r="M235" s="15">
        <f>IFERROR((F235-E235)/E235*100,0)</f>
        <v/>
      </c>
      <c r="N235" s="14">
        <f>F235-I235</f>
        <v/>
      </c>
      <c r="O235" s="14" t="n"/>
    </row>
    <row r="236">
      <c r="A236" t="inlineStr">
        <is>
          <t>CON-235</t>
        </is>
      </c>
      <c r="B236" t="inlineStr">
        <is>
          <t>Kerala</t>
        </is>
      </c>
      <c r="C236" t="inlineStr">
        <is>
          <t>Kerala_Dist_235</t>
        </is>
      </c>
      <c r="D236" t="inlineStr">
        <is>
          <t>General</t>
        </is>
      </c>
      <c r="E236" s="14" t="n">
        <v>3744</v>
      </c>
      <c r="F236" s="14" t="n">
        <v>5379</v>
      </c>
      <c r="G236" s="15" t="n">
        <v>67.12</v>
      </c>
      <c r="H236" t="n">
        <v>1</v>
      </c>
      <c r="I236" s="14" t="n">
        <v>2200</v>
      </c>
      <c r="J236" s="15" t="n">
        <v>2.44</v>
      </c>
      <c r="K236" s="15" t="n">
        <v>144</v>
      </c>
      <c r="L236" s="15" t="inlineStr">
        <is>
          <t>Under-represented</t>
        </is>
      </c>
      <c r="M236" s="15">
        <f>IFERROR((F236-E236)/E236*100,0)</f>
        <v/>
      </c>
      <c r="N236" s="14">
        <f>F236-I236</f>
        <v/>
      </c>
      <c r="O236" s="14" t="n"/>
    </row>
    <row r="237">
      <c r="A237" t="inlineStr">
        <is>
          <t>CON-236</t>
        </is>
      </c>
      <c r="B237" t="inlineStr">
        <is>
          <t>Gujarat</t>
        </is>
      </c>
      <c r="C237" t="inlineStr">
        <is>
          <t>Gujarat_Dist_236</t>
        </is>
      </c>
      <c r="D237" t="inlineStr">
        <is>
          <t>ST</t>
        </is>
      </c>
      <c r="E237" s="14" t="n">
        <v>3778</v>
      </c>
      <c r="F237" s="14" t="n">
        <v>6188</v>
      </c>
      <c r="G237" s="15" t="n">
        <v>56.24</v>
      </c>
      <c r="H237" t="n">
        <v>1</v>
      </c>
      <c r="I237" s="14" t="n">
        <v>2200</v>
      </c>
      <c r="J237" s="15" t="n">
        <v>2.81</v>
      </c>
      <c r="K237" s="15" t="n">
        <v>181</v>
      </c>
      <c r="L237" s="15" t="inlineStr">
        <is>
          <t>Under-represented</t>
        </is>
      </c>
      <c r="M237" s="15">
        <f>IFERROR((F237-E237)/E237*100,0)</f>
        <v/>
      </c>
      <c r="N237" s="14">
        <f>F237-I237</f>
        <v/>
      </c>
      <c r="O237" s="14" t="n"/>
    </row>
    <row r="238">
      <c r="A238" t="inlineStr">
        <is>
          <t>CON-237</t>
        </is>
      </c>
      <c r="B238" t="inlineStr">
        <is>
          <t>Bihar</t>
        </is>
      </c>
      <c r="C238" t="inlineStr">
        <is>
          <t>Bihar_Dist_237</t>
        </is>
      </c>
      <c r="D238" t="inlineStr">
        <is>
          <t>General</t>
        </is>
      </c>
      <c r="E238" s="14" t="n">
        <v>1494</v>
      </c>
      <c r="F238" s="14" t="n">
        <v>2400</v>
      </c>
      <c r="G238" s="15" t="n">
        <v>70.29000000000001</v>
      </c>
      <c r="H238" t="n">
        <v>1</v>
      </c>
      <c r="I238" s="14" t="n">
        <v>2200</v>
      </c>
      <c r="J238" s="15" t="n">
        <v>1.09</v>
      </c>
      <c r="K238" s="15" t="n">
        <v>9</v>
      </c>
      <c r="L238" s="15" t="inlineStr">
        <is>
          <t>Balanced</t>
        </is>
      </c>
      <c r="M238" s="15">
        <f>IFERROR((F238-E238)/E238*100,0)</f>
        <v/>
      </c>
      <c r="N238" s="14">
        <f>F238-I238</f>
        <v/>
      </c>
      <c r="O238" s="14" t="n"/>
    </row>
    <row r="239">
      <c r="A239" t="inlineStr">
        <is>
          <t>CON-238</t>
        </is>
      </c>
      <c r="B239" t="inlineStr">
        <is>
          <t>Uttar Pradesh</t>
        </is>
      </c>
      <c r="C239" t="inlineStr">
        <is>
          <t>Uttar_Dist_238</t>
        </is>
      </c>
      <c r="D239" t="inlineStr">
        <is>
          <t>General</t>
        </is>
      </c>
      <c r="E239" s="14" t="n">
        <v>2072</v>
      </c>
      <c r="F239" s="14" t="n">
        <v>2727</v>
      </c>
      <c r="G239" s="15" t="n">
        <v>72.95</v>
      </c>
      <c r="H239" t="n">
        <v>1</v>
      </c>
      <c r="I239" s="14" t="n">
        <v>2200</v>
      </c>
      <c r="J239" s="15" t="n">
        <v>1.24</v>
      </c>
      <c r="K239" s="15" t="n">
        <v>24</v>
      </c>
      <c r="L239" s="15" t="inlineStr">
        <is>
          <t>Balanced</t>
        </is>
      </c>
      <c r="M239" s="15">
        <f>IFERROR((F239-E239)/E239*100,0)</f>
        <v/>
      </c>
      <c r="N239" s="14">
        <f>F239-I239</f>
        <v/>
      </c>
      <c r="O239" s="14" t="n"/>
    </row>
    <row r="240">
      <c r="A240" t="inlineStr">
        <is>
          <t>CON-239</t>
        </is>
      </c>
      <c r="B240" t="inlineStr">
        <is>
          <t>Gujarat</t>
        </is>
      </c>
      <c r="C240" t="inlineStr">
        <is>
          <t>Gujarat_Dist_239</t>
        </is>
      </c>
      <c r="D240" t="inlineStr">
        <is>
          <t>General</t>
        </is>
      </c>
      <c r="E240" s="14" t="n">
        <v>1957</v>
      </c>
      <c r="F240" s="14" t="n">
        <v>2786</v>
      </c>
      <c r="G240" s="15" t="n">
        <v>75.98</v>
      </c>
      <c r="H240" t="n">
        <v>1</v>
      </c>
      <c r="I240" s="14" t="n">
        <v>2200</v>
      </c>
      <c r="J240" s="15" t="n">
        <v>1.27</v>
      </c>
      <c r="K240" s="15" t="n">
        <v>27</v>
      </c>
      <c r="L240" s="15" t="inlineStr">
        <is>
          <t>Under-represented</t>
        </is>
      </c>
      <c r="M240" s="15">
        <f>IFERROR((F240-E240)/E240*100,0)</f>
        <v/>
      </c>
      <c r="N240" s="14">
        <f>F240-I240</f>
        <v/>
      </c>
      <c r="O240" s="14" t="n"/>
    </row>
    <row r="241">
      <c r="A241" t="inlineStr">
        <is>
          <t>CON-240</t>
        </is>
      </c>
      <c r="B241" t="inlineStr">
        <is>
          <t>Uttar Pradesh</t>
        </is>
      </c>
      <c r="C241" t="inlineStr">
        <is>
          <t>Uttar_Dist_240</t>
        </is>
      </c>
      <c r="D241" t="inlineStr">
        <is>
          <t>General</t>
        </is>
      </c>
      <c r="E241" s="14" t="n">
        <v>3171</v>
      </c>
      <c r="F241" s="14" t="n">
        <v>5312</v>
      </c>
      <c r="G241" s="15" t="n">
        <v>55.55</v>
      </c>
      <c r="H241" t="n">
        <v>1</v>
      </c>
      <c r="I241" s="14" t="n">
        <v>2200</v>
      </c>
      <c r="J241" s="15" t="n">
        <v>2.41</v>
      </c>
      <c r="K241" s="15" t="n">
        <v>141</v>
      </c>
      <c r="L241" s="15" t="inlineStr">
        <is>
          <t>Under-represented</t>
        </is>
      </c>
      <c r="M241" s="15">
        <f>IFERROR((F241-E241)/E241*100,0)</f>
        <v/>
      </c>
      <c r="N241" s="14">
        <f>F241-I241</f>
        <v/>
      </c>
      <c r="O241" s="14" t="n"/>
    </row>
    <row r="242">
      <c r="A242" t="inlineStr">
        <is>
          <t>CON-241</t>
        </is>
      </c>
      <c r="B242" t="inlineStr">
        <is>
          <t>Karnataka</t>
        </is>
      </c>
      <c r="C242" t="inlineStr">
        <is>
          <t>Karnataka_Dist_241</t>
        </is>
      </c>
      <c r="D242" t="inlineStr">
        <is>
          <t>General</t>
        </is>
      </c>
      <c r="E242" s="14" t="n">
        <v>3253</v>
      </c>
      <c r="F242" s="14" t="n">
        <v>5404</v>
      </c>
      <c r="G242" s="15" t="n">
        <v>57.68</v>
      </c>
      <c r="H242" t="n">
        <v>1</v>
      </c>
      <c r="I242" s="14" t="n">
        <v>2200</v>
      </c>
      <c r="J242" s="15" t="n">
        <v>2.46</v>
      </c>
      <c r="K242" s="15" t="n">
        <v>146</v>
      </c>
      <c r="L242" s="15" t="inlineStr">
        <is>
          <t>Under-represented</t>
        </is>
      </c>
      <c r="M242" s="15">
        <f>IFERROR((F242-E242)/E242*100,0)</f>
        <v/>
      </c>
      <c r="N242" s="14">
        <f>F242-I242</f>
        <v/>
      </c>
      <c r="O242" s="14" t="n"/>
    </row>
    <row r="243">
      <c r="A243" t="inlineStr">
        <is>
          <t>CON-242</t>
        </is>
      </c>
      <c r="B243" t="inlineStr">
        <is>
          <t>Kerala</t>
        </is>
      </c>
      <c r="C243" t="inlineStr">
        <is>
          <t>Kerala_Dist_242</t>
        </is>
      </c>
      <c r="D243" t="inlineStr">
        <is>
          <t>General</t>
        </is>
      </c>
      <c r="E243" s="14" t="n">
        <v>1732</v>
      </c>
      <c r="F243" s="14" t="n">
        <v>2336</v>
      </c>
      <c r="G243" s="15" t="n">
        <v>71.8</v>
      </c>
      <c r="H243" t="n">
        <v>1</v>
      </c>
      <c r="I243" s="14" t="n">
        <v>2200</v>
      </c>
      <c r="J243" s="15" t="n">
        <v>1.06</v>
      </c>
      <c r="K243" s="15" t="n">
        <v>6</v>
      </c>
      <c r="L243" s="15" t="inlineStr">
        <is>
          <t>Balanced</t>
        </is>
      </c>
      <c r="M243" s="15">
        <f>IFERROR((F243-E243)/E243*100,0)</f>
        <v/>
      </c>
      <c r="N243" s="14">
        <f>F243-I243</f>
        <v/>
      </c>
      <c r="O243" s="14" t="n"/>
    </row>
    <row r="244">
      <c r="A244" t="inlineStr">
        <is>
          <t>CON-243</t>
        </is>
      </c>
      <c r="B244" t="inlineStr">
        <is>
          <t>Andhra Pradesh</t>
        </is>
      </c>
      <c r="C244" t="inlineStr">
        <is>
          <t>Andhra_Dist_243</t>
        </is>
      </c>
      <c r="D244" t="inlineStr">
        <is>
          <t>SC</t>
        </is>
      </c>
      <c r="E244" s="14" t="n">
        <v>3767</v>
      </c>
      <c r="F244" s="14" t="n">
        <v>5167</v>
      </c>
      <c r="G244" s="15" t="n">
        <v>66.18000000000001</v>
      </c>
      <c r="H244" t="n">
        <v>1</v>
      </c>
      <c r="I244" s="14" t="n">
        <v>2200</v>
      </c>
      <c r="J244" s="15" t="n">
        <v>2.35</v>
      </c>
      <c r="K244" s="15" t="n">
        <v>135</v>
      </c>
      <c r="L244" s="15" t="inlineStr">
        <is>
          <t>Under-represented</t>
        </is>
      </c>
      <c r="M244" s="15">
        <f>IFERROR((F244-E244)/E244*100,0)</f>
        <v/>
      </c>
      <c r="N244" s="14">
        <f>F244-I244</f>
        <v/>
      </c>
      <c r="O244" s="14" t="n"/>
    </row>
    <row r="245">
      <c r="A245" t="inlineStr">
        <is>
          <t>CON-244</t>
        </is>
      </c>
      <c r="B245" t="inlineStr">
        <is>
          <t>Uttar Pradesh</t>
        </is>
      </c>
      <c r="C245" t="inlineStr">
        <is>
          <t>Uttar_Dist_244</t>
        </is>
      </c>
      <c r="D245" t="inlineStr">
        <is>
          <t>General</t>
        </is>
      </c>
      <c r="E245" s="14" t="n">
        <v>2157</v>
      </c>
      <c r="F245" s="14" t="n">
        <v>3639</v>
      </c>
      <c r="G245" s="15" t="n">
        <v>80.34</v>
      </c>
      <c r="H245" t="n">
        <v>1</v>
      </c>
      <c r="I245" s="14" t="n">
        <v>2200</v>
      </c>
      <c r="J245" s="15" t="n">
        <v>1.65</v>
      </c>
      <c r="K245" s="15" t="n">
        <v>65</v>
      </c>
      <c r="L245" s="15" t="inlineStr">
        <is>
          <t>Under-represented</t>
        </is>
      </c>
      <c r="M245" s="15">
        <f>IFERROR((F245-E245)/E245*100,0)</f>
        <v/>
      </c>
      <c r="N245" s="14">
        <f>F245-I245</f>
        <v/>
      </c>
      <c r="O245" s="14" t="n"/>
    </row>
    <row r="246">
      <c r="A246" t="inlineStr">
        <is>
          <t>CON-245</t>
        </is>
      </c>
      <c r="B246" t="inlineStr">
        <is>
          <t>Maharashtra</t>
        </is>
      </c>
      <c r="C246" t="inlineStr">
        <is>
          <t>Maharashtra_Dist_245</t>
        </is>
      </c>
      <c r="D246" t="inlineStr">
        <is>
          <t>General</t>
        </is>
      </c>
      <c r="E246" s="14" t="n">
        <v>1299</v>
      </c>
      <c r="F246" s="14" t="n">
        <v>2159</v>
      </c>
      <c r="G246" s="15" t="n">
        <v>78.28</v>
      </c>
      <c r="H246" t="n">
        <v>1</v>
      </c>
      <c r="I246" s="14" t="n">
        <v>2200</v>
      </c>
      <c r="J246" s="15" t="n">
        <v>0.98</v>
      </c>
      <c r="K246" s="15" t="n">
        <v>2</v>
      </c>
      <c r="L246" s="15" t="inlineStr">
        <is>
          <t>Balanced</t>
        </is>
      </c>
      <c r="M246" s="15">
        <f>IFERROR((F246-E246)/E246*100,0)</f>
        <v/>
      </c>
      <c r="N246" s="14">
        <f>F246-I246</f>
        <v/>
      </c>
      <c r="O246" s="14" t="n"/>
    </row>
    <row r="247">
      <c r="A247" t="inlineStr">
        <is>
          <t>CON-246</t>
        </is>
      </c>
      <c r="B247" t="inlineStr">
        <is>
          <t>Kerala</t>
        </is>
      </c>
      <c r="C247" t="inlineStr">
        <is>
          <t>Kerala_Dist_246</t>
        </is>
      </c>
      <c r="D247" t="inlineStr">
        <is>
          <t>SC</t>
        </is>
      </c>
      <c r="E247" s="14" t="n">
        <v>1820</v>
      </c>
      <c r="F247" s="14" t="n">
        <v>2765</v>
      </c>
      <c r="G247" s="15" t="n">
        <v>64.14</v>
      </c>
      <c r="H247" t="n">
        <v>1</v>
      </c>
      <c r="I247" s="14" t="n">
        <v>2200</v>
      </c>
      <c r="J247" s="15" t="n">
        <v>1.26</v>
      </c>
      <c r="K247" s="15" t="n">
        <v>26</v>
      </c>
      <c r="L247" s="15" t="inlineStr">
        <is>
          <t>Under-represented</t>
        </is>
      </c>
      <c r="M247" s="15">
        <f>IFERROR((F247-E247)/E247*100,0)</f>
        <v/>
      </c>
      <c r="N247" s="14">
        <f>F247-I247</f>
        <v/>
      </c>
      <c r="O247" s="14" t="n"/>
    </row>
    <row r="248">
      <c r="A248" t="inlineStr">
        <is>
          <t>CON-247</t>
        </is>
      </c>
      <c r="B248" t="inlineStr">
        <is>
          <t>Gujarat</t>
        </is>
      </c>
      <c r="C248" t="inlineStr">
        <is>
          <t>Gujarat_Dist_247</t>
        </is>
      </c>
      <c r="D248" t="inlineStr">
        <is>
          <t>General</t>
        </is>
      </c>
      <c r="E248" s="14" t="n">
        <v>3106</v>
      </c>
      <c r="F248" s="14" t="n">
        <v>4329</v>
      </c>
      <c r="G248" s="15" t="n">
        <v>82.59999999999999</v>
      </c>
      <c r="H248" t="n">
        <v>1</v>
      </c>
      <c r="I248" s="14" t="n">
        <v>2200</v>
      </c>
      <c r="J248" s="15" t="n">
        <v>1.97</v>
      </c>
      <c r="K248" s="15" t="n">
        <v>97</v>
      </c>
      <c r="L248" s="15" t="inlineStr">
        <is>
          <t>Under-represented</t>
        </is>
      </c>
      <c r="M248" s="15">
        <f>IFERROR((F248-E248)/E248*100,0)</f>
        <v/>
      </c>
      <c r="N248" s="14">
        <f>F248-I248</f>
        <v/>
      </c>
      <c r="O248" s="14" t="n"/>
    </row>
    <row r="249">
      <c r="A249" t="inlineStr">
        <is>
          <t>CON-248</t>
        </is>
      </c>
      <c r="B249" t="inlineStr">
        <is>
          <t>Andhra Pradesh</t>
        </is>
      </c>
      <c r="C249" t="inlineStr">
        <is>
          <t>Andhra_Dist_248</t>
        </is>
      </c>
      <c r="D249" t="inlineStr">
        <is>
          <t>General</t>
        </is>
      </c>
      <c r="E249" s="14" t="n">
        <v>3310</v>
      </c>
      <c r="F249" s="14" t="n">
        <v>4832</v>
      </c>
      <c r="G249" s="15" t="n">
        <v>52.15</v>
      </c>
      <c r="H249" t="n">
        <v>1</v>
      </c>
      <c r="I249" s="14" t="n">
        <v>2200</v>
      </c>
      <c r="J249" s="15" t="n">
        <v>2.2</v>
      </c>
      <c r="K249" s="15" t="n">
        <v>120</v>
      </c>
      <c r="L249" s="15" t="inlineStr">
        <is>
          <t>Under-represented</t>
        </is>
      </c>
      <c r="M249" s="15">
        <f>IFERROR((F249-E249)/E249*100,0)</f>
        <v/>
      </c>
      <c r="N249" s="14">
        <f>F249-I249</f>
        <v/>
      </c>
      <c r="O249" s="14" t="n"/>
    </row>
    <row r="250">
      <c r="A250" t="inlineStr">
        <is>
          <t>CON-249</t>
        </is>
      </c>
      <c r="B250" t="inlineStr">
        <is>
          <t>Kerala</t>
        </is>
      </c>
      <c r="C250" t="inlineStr">
        <is>
          <t>Kerala_Dist_249</t>
        </is>
      </c>
      <c r="D250" t="inlineStr">
        <is>
          <t>General</t>
        </is>
      </c>
      <c r="E250" s="14" t="n">
        <v>1654</v>
      </c>
      <c r="F250" s="14" t="n">
        <v>2803</v>
      </c>
      <c r="G250" s="15" t="n">
        <v>55.3</v>
      </c>
      <c r="H250" t="n">
        <v>1</v>
      </c>
      <c r="I250" s="14" t="n">
        <v>2200</v>
      </c>
      <c r="J250" s="15" t="n">
        <v>1.27</v>
      </c>
      <c r="K250" s="15" t="n">
        <v>27</v>
      </c>
      <c r="L250" s="15" t="inlineStr">
        <is>
          <t>Under-represented</t>
        </is>
      </c>
      <c r="M250" s="15">
        <f>IFERROR((F250-E250)/E250*100,0)</f>
        <v/>
      </c>
      <c r="N250" s="14">
        <f>F250-I250</f>
        <v/>
      </c>
      <c r="O250" s="14" t="n"/>
    </row>
    <row r="251">
      <c r="A251" t="inlineStr">
        <is>
          <t>CON-250</t>
        </is>
      </c>
      <c r="B251" t="inlineStr">
        <is>
          <t>Karnataka</t>
        </is>
      </c>
      <c r="C251" t="inlineStr">
        <is>
          <t>Karnataka_Dist_250</t>
        </is>
      </c>
      <c r="D251" t="inlineStr">
        <is>
          <t>General</t>
        </is>
      </c>
      <c r="E251" s="14" t="n">
        <v>2174</v>
      </c>
      <c r="F251" s="14" t="n">
        <v>3137</v>
      </c>
      <c r="G251" s="15" t="n">
        <v>70.8</v>
      </c>
      <c r="H251" t="n">
        <v>1</v>
      </c>
      <c r="I251" s="14" t="n">
        <v>2200</v>
      </c>
      <c r="J251" s="15" t="n">
        <v>1.43</v>
      </c>
      <c r="K251" s="15" t="n">
        <v>43</v>
      </c>
      <c r="L251" s="15" t="inlineStr">
        <is>
          <t>Under-represented</t>
        </is>
      </c>
      <c r="M251" s="15">
        <f>IFERROR((F251-E251)/E251*100,0)</f>
        <v/>
      </c>
      <c r="N251" s="14">
        <f>F251-I251</f>
        <v/>
      </c>
      <c r="O251" s="14" t="n"/>
    </row>
    <row r="252">
      <c r="A252" t="inlineStr">
        <is>
          <t>CON-251</t>
        </is>
      </c>
      <c r="B252" t="inlineStr">
        <is>
          <t>Telangana</t>
        </is>
      </c>
      <c r="C252" t="inlineStr">
        <is>
          <t>Telangana_Dist_251</t>
        </is>
      </c>
      <c r="D252" t="inlineStr">
        <is>
          <t>SC</t>
        </is>
      </c>
      <c r="E252" s="14" t="n">
        <v>2116</v>
      </c>
      <c r="F252" s="14" t="n">
        <v>2916</v>
      </c>
      <c r="G252" s="15" t="n">
        <v>67.33</v>
      </c>
      <c r="H252" t="n">
        <v>1</v>
      </c>
      <c r="I252" s="14" t="n">
        <v>2200</v>
      </c>
      <c r="J252" s="15" t="n">
        <v>1.33</v>
      </c>
      <c r="K252" s="15" t="n">
        <v>33</v>
      </c>
      <c r="L252" s="15" t="inlineStr">
        <is>
          <t>Under-represented</t>
        </is>
      </c>
      <c r="M252" s="15">
        <f>IFERROR((F252-E252)/E252*100,0)</f>
        <v/>
      </c>
      <c r="N252" s="14">
        <f>F252-I252</f>
        <v/>
      </c>
      <c r="O252" s="14" t="n"/>
    </row>
    <row r="253">
      <c r="A253" t="inlineStr">
        <is>
          <t>CON-252</t>
        </is>
      </c>
      <c r="B253" t="inlineStr">
        <is>
          <t>Andhra Pradesh</t>
        </is>
      </c>
      <c r="C253" t="inlineStr">
        <is>
          <t>Andhra_Dist_252</t>
        </is>
      </c>
      <c r="D253" t="inlineStr">
        <is>
          <t>ST</t>
        </is>
      </c>
      <c r="E253" s="14" t="n">
        <v>3789</v>
      </c>
      <c r="F253" s="14" t="n">
        <v>6339</v>
      </c>
      <c r="G253" s="15" t="n">
        <v>66.12</v>
      </c>
      <c r="H253" t="n">
        <v>1</v>
      </c>
      <c r="I253" s="14" t="n">
        <v>2200</v>
      </c>
      <c r="J253" s="15" t="n">
        <v>2.88</v>
      </c>
      <c r="K253" s="15" t="n">
        <v>188</v>
      </c>
      <c r="L253" s="15" t="inlineStr">
        <is>
          <t>Under-represented</t>
        </is>
      </c>
      <c r="M253" s="15">
        <f>IFERROR((F253-E253)/E253*100,0)</f>
        <v/>
      </c>
      <c r="N253" s="14">
        <f>F253-I253</f>
        <v/>
      </c>
      <c r="O253" s="14" t="n"/>
    </row>
    <row r="254">
      <c r="A254" t="inlineStr">
        <is>
          <t>CON-253</t>
        </is>
      </c>
      <c r="B254" t="inlineStr">
        <is>
          <t>Andhra Pradesh</t>
        </is>
      </c>
      <c r="C254" t="inlineStr">
        <is>
          <t>Andhra_Dist_253</t>
        </is>
      </c>
      <c r="D254" t="inlineStr">
        <is>
          <t>General</t>
        </is>
      </c>
      <c r="E254" s="14" t="n">
        <v>3535</v>
      </c>
      <c r="F254" s="14" t="n">
        <v>4949</v>
      </c>
      <c r="G254" s="15" t="n">
        <v>69.77</v>
      </c>
      <c r="H254" t="n">
        <v>1</v>
      </c>
      <c r="I254" s="14" t="n">
        <v>2200</v>
      </c>
      <c r="J254" s="15" t="n">
        <v>2.25</v>
      </c>
      <c r="K254" s="15" t="n">
        <v>125</v>
      </c>
      <c r="L254" s="15" t="inlineStr">
        <is>
          <t>Under-represented</t>
        </is>
      </c>
      <c r="M254" s="15">
        <f>IFERROR((F254-E254)/E254*100,0)</f>
        <v/>
      </c>
      <c r="N254" s="14">
        <f>F254-I254</f>
        <v/>
      </c>
      <c r="O254" s="14" t="n"/>
    </row>
    <row r="255">
      <c r="A255" t="inlineStr">
        <is>
          <t>CON-254</t>
        </is>
      </c>
      <c r="B255" t="inlineStr">
        <is>
          <t>Karnataka</t>
        </is>
      </c>
      <c r="C255" t="inlineStr">
        <is>
          <t>Karnataka_Dist_254</t>
        </is>
      </c>
      <c r="D255" t="inlineStr">
        <is>
          <t>General</t>
        </is>
      </c>
      <c r="E255" s="14" t="n">
        <v>2152</v>
      </c>
      <c r="F255" s="14" t="n">
        <v>3059</v>
      </c>
      <c r="G255" s="15" t="n">
        <v>83.27</v>
      </c>
      <c r="H255" t="n">
        <v>1</v>
      </c>
      <c r="I255" s="14" t="n">
        <v>2200</v>
      </c>
      <c r="J255" s="15" t="n">
        <v>1.39</v>
      </c>
      <c r="K255" s="15" t="n">
        <v>39</v>
      </c>
      <c r="L255" s="15" t="inlineStr">
        <is>
          <t>Under-represented</t>
        </is>
      </c>
      <c r="M255" s="15">
        <f>IFERROR((F255-E255)/E255*100,0)</f>
        <v/>
      </c>
      <c r="N255" s="14">
        <f>F255-I255</f>
        <v/>
      </c>
      <c r="O255" s="14" t="n"/>
    </row>
    <row r="256">
      <c r="A256" t="inlineStr">
        <is>
          <t>CON-255</t>
        </is>
      </c>
      <c r="B256" t="inlineStr">
        <is>
          <t>Karnataka</t>
        </is>
      </c>
      <c r="C256" t="inlineStr">
        <is>
          <t>Karnataka_Dist_255</t>
        </is>
      </c>
      <c r="D256" t="inlineStr">
        <is>
          <t>General</t>
        </is>
      </c>
      <c r="E256" s="14" t="n">
        <v>3205</v>
      </c>
      <c r="F256" s="14" t="n">
        <v>4451</v>
      </c>
      <c r="G256" s="15" t="n">
        <v>69.53</v>
      </c>
      <c r="H256" t="n">
        <v>1</v>
      </c>
      <c r="I256" s="14" t="n">
        <v>2200</v>
      </c>
      <c r="J256" s="15" t="n">
        <v>2.02</v>
      </c>
      <c r="K256" s="15" t="n">
        <v>102</v>
      </c>
      <c r="L256" s="15" t="inlineStr">
        <is>
          <t>Under-represented</t>
        </is>
      </c>
      <c r="M256" s="15">
        <f>IFERROR((F256-E256)/E256*100,0)</f>
        <v/>
      </c>
      <c r="N256" s="14">
        <f>F256-I256</f>
        <v/>
      </c>
      <c r="O256" s="14" t="n"/>
    </row>
    <row r="257">
      <c r="A257" t="inlineStr">
        <is>
          <t>CON-256</t>
        </is>
      </c>
      <c r="B257" t="inlineStr">
        <is>
          <t>Karnataka</t>
        </is>
      </c>
      <c r="C257" t="inlineStr">
        <is>
          <t>Karnataka_Dist_256</t>
        </is>
      </c>
      <c r="D257" t="inlineStr">
        <is>
          <t>General</t>
        </is>
      </c>
      <c r="E257" s="14" t="n">
        <v>1381</v>
      </c>
      <c r="F257" s="14" t="n">
        <v>1776</v>
      </c>
      <c r="G257" s="15" t="n">
        <v>83.06</v>
      </c>
      <c r="H257" t="n">
        <v>1</v>
      </c>
      <c r="I257" s="14" t="n">
        <v>2200</v>
      </c>
      <c r="J257" s="15" t="n">
        <v>0.8100000000000001</v>
      </c>
      <c r="K257" s="15" t="n">
        <v>19</v>
      </c>
      <c r="L257" s="15" t="inlineStr">
        <is>
          <t>Balanced</t>
        </is>
      </c>
      <c r="M257" s="15">
        <f>IFERROR((F257-E257)/E257*100,0)</f>
        <v/>
      </c>
      <c r="N257" s="14">
        <f>F257-I257</f>
        <v/>
      </c>
      <c r="O257" s="14" t="n"/>
    </row>
    <row r="258">
      <c r="A258" t="inlineStr">
        <is>
          <t>CON-257</t>
        </is>
      </c>
      <c r="B258" t="inlineStr">
        <is>
          <t>West Bengal</t>
        </is>
      </c>
      <c r="C258" t="inlineStr">
        <is>
          <t>West_Dist_257</t>
        </is>
      </c>
      <c r="D258" t="inlineStr">
        <is>
          <t>General</t>
        </is>
      </c>
      <c r="E258" s="14" t="n">
        <v>3029</v>
      </c>
      <c r="F258" s="14" t="n">
        <v>3871</v>
      </c>
      <c r="G258" s="15" t="n">
        <v>71.18000000000001</v>
      </c>
      <c r="H258" t="n">
        <v>1</v>
      </c>
      <c r="I258" s="14" t="n">
        <v>2200</v>
      </c>
      <c r="J258" s="15" t="n">
        <v>1.76</v>
      </c>
      <c r="K258" s="15" t="n">
        <v>76</v>
      </c>
      <c r="L258" s="15" t="inlineStr">
        <is>
          <t>Under-represented</t>
        </is>
      </c>
      <c r="M258" s="15">
        <f>IFERROR((F258-E258)/E258*100,0)</f>
        <v/>
      </c>
      <c r="N258" s="14">
        <f>F258-I258</f>
        <v/>
      </c>
      <c r="O258" s="14" t="n"/>
    </row>
    <row r="259">
      <c r="A259" t="inlineStr">
        <is>
          <t>CON-258</t>
        </is>
      </c>
      <c r="B259" t="inlineStr">
        <is>
          <t>Tamil Nadu</t>
        </is>
      </c>
      <c r="C259" t="inlineStr">
        <is>
          <t>Tamil_Dist_258</t>
        </is>
      </c>
      <c r="D259" t="inlineStr">
        <is>
          <t>General</t>
        </is>
      </c>
      <c r="E259" s="14" t="n">
        <v>2067</v>
      </c>
      <c r="F259" s="14" t="n">
        <v>3372</v>
      </c>
      <c r="G259" s="15" t="n">
        <v>71.69</v>
      </c>
      <c r="H259" t="n">
        <v>1</v>
      </c>
      <c r="I259" s="14" t="n">
        <v>2200</v>
      </c>
      <c r="J259" s="15" t="n">
        <v>1.53</v>
      </c>
      <c r="K259" s="15" t="n">
        <v>53</v>
      </c>
      <c r="L259" s="15" t="inlineStr">
        <is>
          <t>Under-represented</t>
        </is>
      </c>
      <c r="M259" s="15">
        <f>IFERROR((F259-E259)/E259*100,0)</f>
        <v/>
      </c>
      <c r="N259" s="14">
        <f>F259-I259</f>
        <v/>
      </c>
      <c r="O259" s="14" t="n"/>
    </row>
    <row r="260">
      <c r="A260" t="inlineStr">
        <is>
          <t>CON-259</t>
        </is>
      </c>
      <c r="B260" t="inlineStr">
        <is>
          <t>Telangana</t>
        </is>
      </c>
      <c r="C260" t="inlineStr">
        <is>
          <t>Telangana_Dist_259</t>
        </is>
      </c>
      <c r="D260" t="inlineStr">
        <is>
          <t>SC</t>
        </is>
      </c>
      <c r="E260" s="14" t="n">
        <v>2501</v>
      </c>
      <c r="F260" s="14" t="n">
        <v>3671</v>
      </c>
      <c r="G260" s="15" t="n">
        <v>75.25</v>
      </c>
      <c r="H260" t="n">
        <v>1</v>
      </c>
      <c r="I260" s="14" t="n">
        <v>2200</v>
      </c>
      <c r="J260" s="15" t="n">
        <v>1.67</v>
      </c>
      <c r="K260" s="15" t="n">
        <v>67</v>
      </c>
      <c r="L260" s="15" t="inlineStr">
        <is>
          <t>Under-represented</t>
        </is>
      </c>
      <c r="M260" s="15">
        <f>IFERROR((F260-E260)/E260*100,0)</f>
        <v/>
      </c>
      <c r="N260" s="14">
        <f>F260-I260</f>
        <v/>
      </c>
      <c r="O260" s="14" t="n"/>
    </row>
    <row r="261">
      <c r="A261" t="inlineStr">
        <is>
          <t>CON-260</t>
        </is>
      </c>
      <c r="B261" t="inlineStr">
        <is>
          <t>Uttar Pradesh</t>
        </is>
      </c>
      <c r="C261" t="inlineStr">
        <is>
          <t>Uttar_Dist_260</t>
        </is>
      </c>
      <c r="D261" t="inlineStr">
        <is>
          <t>General</t>
        </is>
      </c>
      <c r="E261" s="14" t="n">
        <v>1586</v>
      </c>
      <c r="F261" s="14" t="n">
        <v>2051</v>
      </c>
      <c r="G261" s="15" t="n">
        <v>61.73</v>
      </c>
      <c r="H261" t="n">
        <v>1</v>
      </c>
      <c r="I261" s="14" t="n">
        <v>2200</v>
      </c>
      <c r="J261" s="15" t="n">
        <v>0.93</v>
      </c>
      <c r="K261" s="15" t="n">
        <v>7</v>
      </c>
      <c r="L261" s="15" t="inlineStr">
        <is>
          <t>Balanced</t>
        </is>
      </c>
      <c r="M261" s="15">
        <f>IFERROR((F261-E261)/E261*100,0)</f>
        <v/>
      </c>
      <c r="N261" s="14">
        <f>F261-I261</f>
        <v/>
      </c>
      <c r="O261" s="14" t="n"/>
    </row>
    <row r="262">
      <c r="A262" t="inlineStr">
        <is>
          <t>CON-261</t>
        </is>
      </c>
      <c r="B262" t="inlineStr">
        <is>
          <t>Gujarat</t>
        </is>
      </c>
      <c r="C262" t="inlineStr">
        <is>
          <t>Gujarat_Dist_261</t>
        </is>
      </c>
      <c r="D262" t="inlineStr">
        <is>
          <t>General</t>
        </is>
      </c>
      <c r="E262" s="14" t="n">
        <v>1700</v>
      </c>
      <c r="F262" s="14" t="n">
        <v>2804</v>
      </c>
      <c r="G262" s="15" t="n">
        <v>78.90000000000001</v>
      </c>
      <c r="H262" t="n">
        <v>1</v>
      </c>
      <c r="I262" s="14" t="n">
        <v>2200</v>
      </c>
      <c r="J262" s="15" t="n">
        <v>1.27</v>
      </c>
      <c r="K262" s="15" t="n">
        <v>27</v>
      </c>
      <c r="L262" s="15" t="inlineStr">
        <is>
          <t>Under-represented</t>
        </is>
      </c>
      <c r="M262" s="15">
        <f>IFERROR((F262-E262)/E262*100,0)</f>
        <v/>
      </c>
      <c r="N262" s="14">
        <f>F262-I262</f>
        <v/>
      </c>
      <c r="O262" s="14" t="n"/>
    </row>
    <row r="263">
      <c r="A263" t="inlineStr">
        <is>
          <t>CON-262</t>
        </is>
      </c>
      <c r="B263" t="inlineStr">
        <is>
          <t>Andhra Pradesh</t>
        </is>
      </c>
      <c r="C263" t="inlineStr">
        <is>
          <t>Andhra_Dist_262</t>
        </is>
      </c>
      <c r="D263" t="inlineStr">
        <is>
          <t>General</t>
        </is>
      </c>
      <c r="E263" s="14" t="n">
        <v>2582</v>
      </c>
      <c r="F263" s="14" t="n">
        <v>4044</v>
      </c>
      <c r="G263" s="15" t="n">
        <v>66.95999999999999</v>
      </c>
      <c r="H263" t="n">
        <v>1</v>
      </c>
      <c r="I263" s="14" t="n">
        <v>2200</v>
      </c>
      <c r="J263" s="15" t="n">
        <v>1.84</v>
      </c>
      <c r="K263" s="15" t="n">
        <v>84</v>
      </c>
      <c r="L263" s="15" t="inlineStr">
        <is>
          <t>Under-represented</t>
        </is>
      </c>
      <c r="M263" s="15">
        <f>IFERROR((F263-E263)/E263*100,0)</f>
        <v/>
      </c>
      <c r="N263" s="14">
        <f>F263-I263</f>
        <v/>
      </c>
      <c r="O263" s="14" t="n"/>
    </row>
    <row r="264">
      <c r="A264" t="inlineStr">
        <is>
          <t>CON-263</t>
        </is>
      </c>
      <c r="B264" t="inlineStr">
        <is>
          <t>Uttar Pradesh</t>
        </is>
      </c>
      <c r="C264" t="inlineStr">
        <is>
          <t>Uttar_Dist_263</t>
        </is>
      </c>
      <c r="D264" t="inlineStr">
        <is>
          <t>ST</t>
        </is>
      </c>
      <c r="E264" s="14" t="n">
        <v>2946</v>
      </c>
      <c r="F264" s="14" t="n">
        <v>4657</v>
      </c>
      <c r="G264" s="15" t="n">
        <v>64.18000000000001</v>
      </c>
      <c r="H264" t="n">
        <v>1</v>
      </c>
      <c r="I264" s="14" t="n">
        <v>2200</v>
      </c>
      <c r="J264" s="15" t="n">
        <v>2.12</v>
      </c>
      <c r="K264" s="15" t="n">
        <v>112</v>
      </c>
      <c r="L264" s="15" t="inlineStr">
        <is>
          <t>Under-represented</t>
        </is>
      </c>
      <c r="M264" s="15">
        <f>IFERROR((F264-E264)/E264*100,0)</f>
        <v/>
      </c>
      <c r="N264" s="14">
        <f>F264-I264</f>
        <v/>
      </c>
      <c r="O264" s="14" t="n"/>
    </row>
    <row r="265">
      <c r="A265" t="inlineStr">
        <is>
          <t>CON-264</t>
        </is>
      </c>
      <c r="B265" t="inlineStr">
        <is>
          <t>Gujarat</t>
        </is>
      </c>
      <c r="C265" t="inlineStr">
        <is>
          <t>Gujarat_Dist_264</t>
        </is>
      </c>
      <c r="D265" t="inlineStr">
        <is>
          <t>General</t>
        </is>
      </c>
      <c r="E265" s="14" t="n">
        <v>3393</v>
      </c>
      <c r="F265" s="14" t="n">
        <v>4378</v>
      </c>
      <c r="G265" s="15" t="n">
        <v>65.87</v>
      </c>
      <c r="H265" t="n">
        <v>1</v>
      </c>
      <c r="I265" s="14" t="n">
        <v>2200</v>
      </c>
      <c r="J265" s="15" t="n">
        <v>1.99</v>
      </c>
      <c r="K265" s="15" t="n">
        <v>99</v>
      </c>
      <c r="L265" s="15" t="inlineStr">
        <is>
          <t>Under-represented</t>
        </is>
      </c>
      <c r="M265" s="15">
        <f>IFERROR((F265-E265)/E265*100,0)</f>
        <v/>
      </c>
      <c r="N265" s="14">
        <f>F265-I265</f>
        <v/>
      </c>
      <c r="O265" s="14" t="n"/>
    </row>
    <row r="266">
      <c r="A266" t="inlineStr">
        <is>
          <t>CON-265</t>
        </is>
      </c>
      <c r="B266" t="inlineStr">
        <is>
          <t>Kerala</t>
        </is>
      </c>
      <c r="C266" t="inlineStr">
        <is>
          <t>Kerala_Dist_265</t>
        </is>
      </c>
      <c r="D266" t="inlineStr">
        <is>
          <t>General</t>
        </is>
      </c>
      <c r="E266" s="14" t="n">
        <v>1287</v>
      </c>
      <c r="F266" s="14" t="n">
        <v>1864</v>
      </c>
      <c r="G266" s="15" t="n">
        <v>76.01000000000001</v>
      </c>
      <c r="H266" t="n">
        <v>1</v>
      </c>
      <c r="I266" s="14" t="n">
        <v>2200</v>
      </c>
      <c r="J266" s="15" t="n">
        <v>0.85</v>
      </c>
      <c r="K266" s="15" t="n">
        <v>15</v>
      </c>
      <c r="L266" s="15" t="inlineStr">
        <is>
          <t>Balanced</t>
        </is>
      </c>
      <c r="M266" s="15">
        <f>IFERROR((F266-E266)/E266*100,0)</f>
        <v/>
      </c>
      <c r="N266" s="14">
        <f>F266-I266</f>
        <v/>
      </c>
      <c r="O266" s="14" t="n"/>
    </row>
    <row r="267">
      <c r="A267" t="inlineStr">
        <is>
          <t>CON-266</t>
        </is>
      </c>
      <c r="B267" t="inlineStr">
        <is>
          <t>Tamil Nadu</t>
        </is>
      </c>
      <c r="C267" t="inlineStr">
        <is>
          <t>Tamil_Dist_266</t>
        </is>
      </c>
      <c r="D267" t="inlineStr">
        <is>
          <t>General</t>
        </is>
      </c>
      <c r="E267" s="14" t="n">
        <v>3425</v>
      </c>
      <c r="F267" s="14" t="n">
        <v>5883</v>
      </c>
      <c r="G267" s="15" t="n">
        <v>72.68000000000001</v>
      </c>
      <c r="H267" t="n">
        <v>1</v>
      </c>
      <c r="I267" s="14" t="n">
        <v>2200</v>
      </c>
      <c r="J267" s="15" t="n">
        <v>2.67</v>
      </c>
      <c r="K267" s="15" t="n">
        <v>167</v>
      </c>
      <c r="L267" s="15" t="inlineStr">
        <is>
          <t>Under-represented</t>
        </is>
      </c>
      <c r="M267" s="15">
        <f>IFERROR((F267-E267)/E267*100,0)</f>
        <v/>
      </c>
      <c r="N267" s="14">
        <f>F267-I267</f>
        <v/>
      </c>
      <c r="O267" s="14" t="n"/>
    </row>
    <row r="268">
      <c r="A268" t="inlineStr">
        <is>
          <t>CON-267</t>
        </is>
      </c>
      <c r="B268" t="inlineStr">
        <is>
          <t>West Bengal</t>
        </is>
      </c>
      <c r="C268" t="inlineStr">
        <is>
          <t>West_Dist_267</t>
        </is>
      </c>
      <c r="D268" t="inlineStr">
        <is>
          <t>General</t>
        </is>
      </c>
      <c r="E268" s="14" t="n">
        <v>1861</v>
      </c>
      <c r="F268" s="14" t="n">
        <v>2596</v>
      </c>
      <c r="G268" s="15" t="n">
        <v>68.59999999999999</v>
      </c>
      <c r="H268" t="n">
        <v>1</v>
      </c>
      <c r="I268" s="14" t="n">
        <v>2200</v>
      </c>
      <c r="J268" s="15" t="n">
        <v>1.18</v>
      </c>
      <c r="K268" s="15" t="n">
        <v>18</v>
      </c>
      <c r="L268" s="15" t="inlineStr">
        <is>
          <t>Balanced</t>
        </is>
      </c>
      <c r="M268" s="15">
        <f>IFERROR((F268-E268)/E268*100,0)</f>
        <v/>
      </c>
      <c r="N268" s="14">
        <f>F268-I268</f>
        <v/>
      </c>
      <c r="O268" s="14" t="n"/>
    </row>
    <row r="269">
      <c r="A269" t="inlineStr">
        <is>
          <t>CON-268</t>
        </is>
      </c>
      <c r="B269" t="inlineStr">
        <is>
          <t>West Bengal</t>
        </is>
      </c>
      <c r="C269" t="inlineStr">
        <is>
          <t>West_Dist_268</t>
        </is>
      </c>
      <c r="D269" t="inlineStr">
        <is>
          <t>SC</t>
        </is>
      </c>
      <c r="E269" s="14" t="n">
        <v>2222</v>
      </c>
      <c r="F269" s="14" t="n">
        <v>3314</v>
      </c>
      <c r="G269" s="15" t="n">
        <v>61.28</v>
      </c>
      <c r="H269" t="n">
        <v>1</v>
      </c>
      <c r="I269" s="14" t="n">
        <v>2200</v>
      </c>
      <c r="J269" s="15" t="n">
        <v>1.51</v>
      </c>
      <c r="K269" s="15" t="n">
        <v>51</v>
      </c>
      <c r="L269" s="15" t="inlineStr">
        <is>
          <t>Under-represented</t>
        </is>
      </c>
      <c r="M269" s="15">
        <f>IFERROR((F269-E269)/E269*100,0)</f>
        <v/>
      </c>
      <c r="N269" s="14">
        <f>F269-I269</f>
        <v/>
      </c>
      <c r="O269" s="14" t="n"/>
    </row>
    <row r="270">
      <c r="A270" t="inlineStr">
        <is>
          <t>CON-269</t>
        </is>
      </c>
      <c r="B270" t="inlineStr">
        <is>
          <t>West Bengal</t>
        </is>
      </c>
      <c r="C270" t="inlineStr">
        <is>
          <t>West_Dist_269</t>
        </is>
      </c>
      <c r="D270" t="inlineStr">
        <is>
          <t>SC</t>
        </is>
      </c>
      <c r="E270" s="14" t="n">
        <v>2787</v>
      </c>
      <c r="F270" s="14" t="n">
        <v>4859</v>
      </c>
      <c r="G270" s="15" t="n">
        <v>56.88</v>
      </c>
      <c r="H270" t="n">
        <v>1</v>
      </c>
      <c r="I270" s="14" t="n">
        <v>2200</v>
      </c>
      <c r="J270" s="15" t="n">
        <v>2.21</v>
      </c>
      <c r="K270" s="15" t="n">
        <v>121</v>
      </c>
      <c r="L270" s="15" t="inlineStr">
        <is>
          <t>Under-represented</t>
        </is>
      </c>
      <c r="M270" s="15">
        <f>IFERROR((F270-E270)/E270*100,0)</f>
        <v/>
      </c>
      <c r="N270" s="14">
        <f>F270-I270</f>
        <v/>
      </c>
      <c r="O270" s="14" t="n"/>
    </row>
    <row r="271">
      <c r="A271" t="inlineStr">
        <is>
          <t>CON-270</t>
        </is>
      </c>
      <c r="B271" t="inlineStr">
        <is>
          <t>Bihar</t>
        </is>
      </c>
      <c r="C271" t="inlineStr">
        <is>
          <t>Bihar_Dist_270</t>
        </is>
      </c>
      <c r="D271" t="inlineStr">
        <is>
          <t>General</t>
        </is>
      </c>
      <c r="E271" s="14" t="n">
        <v>3562</v>
      </c>
      <c r="F271" s="14" t="n">
        <v>6046</v>
      </c>
      <c r="G271" s="15" t="n">
        <v>77.41</v>
      </c>
      <c r="H271" t="n">
        <v>1</v>
      </c>
      <c r="I271" s="14" t="n">
        <v>2200</v>
      </c>
      <c r="J271" s="15" t="n">
        <v>2.75</v>
      </c>
      <c r="K271" s="15" t="n">
        <v>175</v>
      </c>
      <c r="L271" s="15" t="inlineStr">
        <is>
          <t>Under-represented</t>
        </is>
      </c>
      <c r="M271" s="15">
        <f>IFERROR((F271-E271)/E271*100,0)</f>
        <v/>
      </c>
      <c r="N271" s="14">
        <f>F271-I271</f>
        <v/>
      </c>
      <c r="O271" s="14" t="n"/>
    </row>
    <row r="272">
      <c r="A272" t="inlineStr">
        <is>
          <t>CON-271</t>
        </is>
      </c>
      <c r="B272" t="inlineStr">
        <is>
          <t>Uttar Pradesh</t>
        </is>
      </c>
      <c r="C272" t="inlineStr">
        <is>
          <t>Uttar_Dist_271</t>
        </is>
      </c>
      <c r="D272" t="inlineStr">
        <is>
          <t>General</t>
        </is>
      </c>
      <c r="E272" s="14" t="n">
        <v>1308</v>
      </c>
      <c r="F272" s="14" t="n">
        <v>1668</v>
      </c>
      <c r="G272" s="15" t="n">
        <v>81.11</v>
      </c>
      <c r="H272" t="n">
        <v>1</v>
      </c>
      <c r="I272" s="14" t="n">
        <v>2200</v>
      </c>
      <c r="J272" s="15" t="n">
        <v>0.76</v>
      </c>
      <c r="K272" s="15" t="n">
        <v>24</v>
      </c>
      <c r="L272" s="15" t="inlineStr">
        <is>
          <t>Over-represented</t>
        </is>
      </c>
      <c r="M272" s="15">
        <f>IFERROR((F272-E272)/E272*100,0)</f>
        <v/>
      </c>
      <c r="N272" s="14">
        <f>F272-I272</f>
        <v/>
      </c>
      <c r="O272" s="14" t="n"/>
    </row>
    <row r="273">
      <c r="A273" t="inlineStr">
        <is>
          <t>CON-272</t>
        </is>
      </c>
      <c r="B273" t="inlineStr">
        <is>
          <t>Bihar</t>
        </is>
      </c>
      <c r="C273" t="inlineStr">
        <is>
          <t>Bihar_Dist_272</t>
        </is>
      </c>
      <c r="D273" t="inlineStr">
        <is>
          <t>General</t>
        </is>
      </c>
      <c r="E273" s="14" t="n">
        <v>3530</v>
      </c>
      <c r="F273" s="14" t="n">
        <v>4818</v>
      </c>
      <c r="G273" s="15" t="n">
        <v>82.56</v>
      </c>
      <c r="H273" t="n">
        <v>1</v>
      </c>
      <c r="I273" s="14" t="n">
        <v>2200</v>
      </c>
      <c r="J273" s="15" t="n">
        <v>2.19</v>
      </c>
      <c r="K273" s="15" t="n">
        <v>119</v>
      </c>
      <c r="L273" s="15" t="inlineStr">
        <is>
          <t>Under-represented</t>
        </is>
      </c>
      <c r="M273" s="15">
        <f>IFERROR((F273-E273)/E273*100,0)</f>
        <v/>
      </c>
      <c r="N273" s="14">
        <f>F273-I273</f>
        <v/>
      </c>
      <c r="O273" s="14" t="n"/>
    </row>
    <row r="274">
      <c r="A274" t="inlineStr">
        <is>
          <t>CON-273</t>
        </is>
      </c>
      <c r="B274" t="inlineStr">
        <is>
          <t>Telangana</t>
        </is>
      </c>
      <c r="C274" t="inlineStr">
        <is>
          <t>Telangana_Dist_273</t>
        </is>
      </c>
      <c r="D274" t="inlineStr">
        <is>
          <t>General</t>
        </is>
      </c>
      <c r="E274" s="14" t="n">
        <v>1595</v>
      </c>
      <c r="F274" s="14" t="n">
        <v>2200</v>
      </c>
      <c r="G274" s="15" t="n">
        <v>78.34999999999999</v>
      </c>
      <c r="H274" t="n">
        <v>1</v>
      </c>
      <c r="I274" s="14" t="n">
        <v>2200</v>
      </c>
      <c r="J274" s="15" t="n">
        <v>1</v>
      </c>
      <c r="K274" s="15" t="n">
        <v>0</v>
      </c>
      <c r="L274" s="15" t="inlineStr">
        <is>
          <t>Balanced</t>
        </is>
      </c>
      <c r="M274" s="15">
        <f>IFERROR((F274-E274)/E274*100,0)</f>
        <v/>
      </c>
      <c r="N274" s="14">
        <f>F274-I274</f>
        <v/>
      </c>
      <c r="O274" s="14" t="n"/>
    </row>
    <row r="275">
      <c r="A275" t="inlineStr">
        <is>
          <t>CON-274</t>
        </is>
      </c>
      <c r="B275" t="inlineStr">
        <is>
          <t>Telangana</t>
        </is>
      </c>
      <c r="C275" t="inlineStr">
        <is>
          <t>Telangana_Dist_274</t>
        </is>
      </c>
      <c r="D275" t="inlineStr">
        <is>
          <t>ST</t>
        </is>
      </c>
      <c r="E275" s="14" t="n">
        <v>2133</v>
      </c>
      <c r="F275" s="14" t="n">
        <v>3084</v>
      </c>
      <c r="G275" s="15" t="n">
        <v>65.34</v>
      </c>
      <c r="H275" t="n">
        <v>1</v>
      </c>
      <c r="I275" s="14" t="n">
        <v>2200</v>
      </c>
      <c r="J275" s="15" t="n">
        <v>1.4</v>
      </c>
      <c r="K275" s="15" t="n">
        <v>40</v>
      </c>
      <c r="L275" s="15" t="inlineStr">
        <is>
          <t>Under-represented</t>
        </is>
      </c>
      <c r="M275" s="15">
        <f>IFERROR((F275-E275)/E275*100,0)</f>
        <v/>
      </c>
      <c r="N275" s="14">
        <f>F275-I275</f>
        <v/>
      </c>
      <c r="O275" s="14" t="n"/>
    </row>
    <row r="276">
      <c r="A276" t="inlineStr">
        <is>
          <t>CON-275</t>
        </is>
      </c>
      <c r="B276" t="inlineStr">
        <is>
          <t>Gujarat</t>
        </is>
      </c>
      <c r="C276" t="inlineStr">
        <is>
          <t>Gujarat_Dist_275</t>
        </is>
      </c>
      <c r="D276" t="inlineStr">
        <is>
          <t>General</t>
        </is>
      </c>
      <c r="E276" s="14" t="n">
        <v>2969</v>
      </c>
      <c r="F276" s="14" t="n">
        <v>3858</v>
      </c>
      <c r="G276" s="15" t="n">
        <v>54.05</v>
      </c>
      <c r="H276" t="n">
        <v>1</v>
      </c>
      <c r="I276" s="14" t="n">
        <v>2200</v>
      </c>
      <c r="J276" s="15" t="n">
        <v>1.75</v>
      </c>
      <c r="K276" s="15" t="n">
        <v>75</v>
      </c>
      <c r="L276" s="15" t="inlineStr">
        <is>
          <t>Under-represented</t>
        </is>
      </c>
      <c r="M276" s="15">
        <f>IFERROR((F276-E276)/E276*100,0)</f>
        <v/>
      </c>
      <c r="N276" s="14">
        <f>F276-I276</f>
        <v/>
      </c>
      <c r="O276" s="14" t="n"/>
    </row>
    <row r="277">
      <c r="A277" t="inlineStr">
        <is>
          <t>CON-276</t>
        </is>
      </c>
      <c r="B277" t="inlineStr">
        <is>
          <t>Maharashtra</t>
        </is>
      </c>
      <c r="C277" t="inlineStr">
        <is>
          <t>Maharashtra_Dist_276</t>
        </is>
      </c>
      <c r="D277" t="inlineStr">
        <is>
          <t>General</t>
        </is>
      </c>
      <c r="E277" s="14" t="n">
        <v>1987</v>
      </c>
      <c r="F277" s="14" t="n">
        <v>3295</v>
      </c>
      <c r="G277" s="15" t="n">
        <v>64.52</v>
      </c>
      <c r="H277" t="n">
        <v>1</v>
      </c>
      <c r="I277" s="14" t="n">
        <v>2200</v>
      </c>
      <c r="J277" s="15" t="n">
        <v>1.5</v>
      </c>
      <c r="K277" s="15" t="n">
        <v>50</v>
      </c>
      <c r="L277" s="15" t="inlineStr">
        <is>
          <t>Under-represented</t>
        </is>
      </c>
      <c r="M277" s="15">
        <f>IFERROR((F277-E277)/E277*100,0)</f>
        <v/>
      </c>
      <c r="N277" s="14">
        <f>F277-I277</f>
        <v/>
      </c>
      <c r="O277" s="14" t="n"/>
    </row>
    <row r="278">
      <c r="A278" t="inlineStr">
        <is>
          <t>CON-277</t>
        </is>
      </c>
      <c r="B278" t="inlineStr">
        <is>
          <t>Maharashtra</t>
        </is>
      </c>
      <c r="C278" t="inlineStr">
        <is>
          <t>Maharashtra_Dist_277</t>
        </is>
      </c>
      <c r="D278" t="inlineStr">
        <is>
          <t>General</t>
        </is>
      </c>
      <c r="E278" s="14" t="n">
        <v>2155</v>
      </c>
      <c r="F278" s="14" t="n">
        <v>3684</v>
      </c>
      <c r="G278" s="15" t="n">
        <v>72.65000000000001</v>
      </c>
      <c r="H278" t="n">
        <v>1</v>
      </c>
      <c r="I278" s="14" t="n">
        <v>2200</v>
      </c>
      <c r="J278" s="15" t="n">
        <v>1.67</v>
      </c>
      <c r="K278" s="15" t="n">
        <v>67</v>
      </c>
      <c r="L278" s="15" t="inlineStr">
        <is>
          <t>Under-represented</t>
        </is>
      </c>
      <c r="M278" s="15">
        <f>IFERROR((F278-E278)/E278*100,0)</f>
        <v/>
      </c>
      <c r="N278" s="14">
        <f>F278-I278</f>
        <v/>
      </c>
      <c r="O278" s="14" t="n"/>
    </row>
    <row r="279">
      <c r="A279" t="inlineStr">
        <is>
          <t>CON-278</t>
        </is>
      </c>
      <c r="B279" t="inlineStr">
        <is>
          <t>Uttar Pradesh</t>
        </is>
      </c>
      <c r="C279" t="inlineStr">
        <is>
          <t>Uttar_Dist_278</t>
        </is>
      </c>
      <c r="D279" t="inlineStr">
        <is>
          <t>SC</t>
        </is>
      </c>
      <c r="E279" s="14" t="n">
        <v>1739</v>
      </c>
      <c r="F279" s="14" t="n">
        <v>2996</v>
      </c>
      <c r="G279" s="15" t="n">
        <v>79.45999999999999</v>
      </c>
      <c r="H279" t="n">
        <v>1</v>
      </c>
      <c r="I279" s="14" t="n">
        <v>2200</v>
      </c>
      <c r="J279" s="15" t="n">
        <v>1.36</v>
      </c>
      <c r="K279" s="15" t="n">
        <v>36</v>
      </c>
      <c r="L279" s="15" t="inlineStr">
        <is>
          <t>Under-represented</t>
        </is>
      </c>
      <c r="M279" s="15">
        <f>IFERROR((F279-E279)/E279*100,0)</f>
        <v/>
      </c>
      <c r="N279" s="14">
        <f>F279-I279</f>
        <v/>
      </c>
      <c r="O279" s="14" t="n"/>
    </row>
    <row r="280">
      <c r="A280" t="inlineStr">
        <is>
          <t>CON-279</t>
        </is>
      </c>
      <c r="B280" t="inlineStr">
        <is>
          <t>Telangana</t>
        </is>
      </c>
      <c r="C280" t="inlineStr">
        <is>
          <t>Telangana_Dist_279</t>
        </is>
      </c>
      <c r="D280" t="inlineStr">
        <is>
          <t>General</t>
        </is>
      </c>
      <c r="E280" s="14" t="n">
        <v>1665</v>
      </c>
      <c r="F280" s="14" t="n">
        <v>2813</v>
      </c>
      <c r="G280" s="15" t="n">
        <v>68.01000000000001</v>
      </c>
      <c r="H280" t="n">
        <v>1</v>
      </c>
      <c r="I280" s="14" t="n">
        <v>2200</v>
      </c>
      <c r="J280" s="15" t="n">
        <v>1.28</v>
      </c>
      <c r="K280" s="15" t="n">
        <v>28</v>
      </c>
      <c r="L280" s="15" t="inlineStr">
        <is>
          <t>Under-represented</t>
        </is>
      </c>
      <c r="M280" s="15">
        <f>IFERROR((F280-E280)/E280*100,0)</f>
        <v/>
      </c>
      <c r="N280" s="14">
        <f>F280-I280</f>
        <v/>
      </c>
      <c r="O280" s="14" t="n"/>
    </row>
    <row r="281">
      <c r="A281" t="inlineStr">
        <is>
          <t>CON-280</t>
        </is>
      </c>
      <c r="B281" t="inlineStr">
        <is>
          <t>Karnataka</t>
        </is>
      </c>
      <c r="C281" t="inlineStr">
        <is>
          <t>Karnataka_Dist_280</t>
        </is>
      </c>
      <c r="D281" t="inlineStr">
        <is>
          <t>General</t>
        </is>
      </c>
      <c r="E281" s="14" t="n">
        <v>2203</v>
      </c>
      <c r="F281" s="14" t="n">
        <v>3381</v>
      </c>
      <c r="G281" s="15" t="n">
        <v>78.22</v>
      </c>
      <c r="H281" t="n">
        <v>1</v>
      </c>
      <c r="I281" s="14" t="n">
        <v>2200</v>
      </c>
      <c r="J281" s="15" t="n">
        <v>1.54</v>
      </c>
      <c r="K281" s="15" t="n">
        <v>54</v>
      </c>
      <c r="L281" s="15" t="inlineStr">
        <is>
          <t>Under-represented</t>
        </is>
      </c>
      <c r="M281" s="15">
        <f>IFERROR((F281-E281)/E281*100,0)</f>
        <v/>
      </c>
      <c r="N281" s="14">
        <f>F281-I281</f>
        <v/>
      </c>
      <c r="O281" s="14" t="n"/>
    </row>
    <row r="282">
      <c r="A282" t="inlineStr">
        <is>
          <t>CON-281</t>
        </is>
      </c>
      <c r="B282" t="inlineStr">
        <is>
          <t>Gujarat</t>
        </is>
      </c>
      <c r="C282" t="inlineStr">
        <is>
          <t>Gujarat_Dist_281</t>
        </is>
      </c>
      <c r="D282" t="inlineStr">
        <is>
          <t>General</t>
        </is>
      </c>
      <c r="E282" s="14" t="n">
        <v>3259</v>
      </c>
      <c r="F282" s="14" t="n">
        <v>5444</v>
      </c>
      <c r="G282" s="15" t="n">
        <v>74.34999999999999</v>
      </c>
      <c r="H282" t="n">
        <v>1</v>
      </c>
      <c r="I282" s="14" t="n">
        <v>2200</v>
      </c>
      <c r="J282" s="15" t="n">
        <v>2.47</v>
      </c>
      <c r="K282" s="15" t="n">
        <v>147</v>
      </c>
      <c r="L282" s="15" t="inlineStr">
        <is>
          <t>Under-represented</t>
        </is>
      </c>
      <c r="M282" s="15">
        <f>IFERROR((F282-E282)/E282*100,0)</f>
        <v/>
      </c>
      <c r="N282" s="14">
        <f>F282-I282</f>
        <v/>
      </c>
      <c r="O282" s="14" t="n"/>
    </row>
    <row r="283">
      <c r="A283" t="inlineStr">
        <is>
          <t>CON-282</t>
        </is>
      </c>
      <c r="B283" t="inlineStr">
        <is>
          <t>Gujarat</t>
        </is>
      </c>
      <c r="C283" t="inlineStr">
        <is>
          <t>Gujarat_Dist_282</t>
        </is>
      </c>
      <c r="D283" t="inlineStr">
        <is>
          <t>General</t>
        </is>
      </c>
      <c r="E283" s="14" t="n">
        <v>3371</v>
      </c>
      <c r="F283" s="14" t="n">
        <v>4972</v>
      </c>
      <c r="G283" s="15" t="n">
        <v>80.45</v>
      </c>
      <c r="H283" t="n">
        <v>1</v>
      </c>
      <c r="I283" s="14" t="n">
        <v>2200</v>
      </c>
      <c r="J283" s="15" t="n">
        <v>2.26</v>
      </c>
      <c r="K283" s="15" t="n">
        <v>126</v>
      </c>
      <c r="L283" s="15" t="inlineStr">
        <is>
          <t>Under-represented</t>
        </is>
      </c>
      <c r="M283" s="15">
        <f>IFERROR((F283-E283)/E283*100,0)</f>
        <v/>
      </c>
      <c r="N283" s="14">
        <f>F283-I283</f>
        <v/>
      </c>
      <c r="O283" s="14" t="n"/>
    </row>
    <row r="284">
      <c r="A284" t="inlineStr">
        <is>
          <t>CON-283</t>
        </is>
      </c>
      <c r="B284" t="inlineStr">
        <is>
          <t>Karnataka</t>
        </is>
      </c>
      <c r="C284" t="inlineStr">
        <is>
          <t>Karnataka_Dist_283</t>
        </is>
      </c>
      <c r="D284" t="inlineStr">
        <is>
          <t>General</t>
        </is>
      </c>
      <c r="E284" s="14" t="n">
        <v>2718</v>
      </c>
      <c r="F284" s="14" t="n">
        <v>3675</v>
      </c>
      <c r="G284" s="15" t="n">
        <v>60.89</v>
      </c>
      <c r="H284" t="n">
        <v>1</v>
      </c>
      <c r="I284" s="14" t="n">
        <v>2200</v>
      </c>
      <c r="J284" s="15" t="n">
        <v>1.67</v>
      </c>
      <c r="K284" s="15" t="n">
        <v>67</v>
      </c>
      <c r="L284" s="15" t="inlineStr">
        <is>
          <t>Under-represented</t>
        </is>
      </c>
      <c r="M284" s="15">
        <f>IFERROR((F284-E284)/E284*100,0)</f>
        <v/>
      </c>
      <c r="N284" s="14">
        <f>F284-I284</f>
        <v/>
      </c>
      <c r="O284" s="14" t="n"/>
    </row>
    <row r="285">
      <c r="A285" t="inlineStr">
        <is>
          <t>CON-284</t>
        </is>
      </c>
      <c r="B285" t="inlineStr">
        <is>
          <t>Tamil Nadu</t>
        </is>
      </c>
      <c r="C285" t="inlineStr">
        <is>
          <t>Tamil_Dist_284</t>
        </is>
      </c>
      <c r="D285" t="inlineStr">
        <is>
          <t>General</t>
        </is>
      </c>
      <c r="E285" s="14" t="n">
        <v>1379</v>
      </c>
      <c r="F285" s="14" t="n">
        <v>1812</v>
      </c>
      <c r="G285" s="15" t="n">
        <v>78.12</v>
      </c>
      <c r="H285" t="n">
        <v>1</v>
      </c>
      <c r="I285" s="14" t="n">
        <v>2200</v>
      </c>
      <c r="J285" s="15" t="n">
        <v>0.82</v>
      </c>
      <c r="K285" s="15" t="n">
        <v>18</v>
      </c>
      <c r="L285" s="15" t="inlineStr">
        <is>
          <t>Balanced</t>
        </is>
      </c>
      <c r="M285" s="15">
        <f>IFERROR((F285-E285)/E285*100,0)</f>
        <v/>
      </c>
      <c r="N285" s="14">
        <f>F285-I285</f>
        <v/>
      </c>
      <c r="O285" s="14" t="n"/>
    </row>
    <row r="286">
      <c r="A286" t="inlineStr">
        <is>
          <t>CON-285</t>
        </is>
      </c>
      <c r="B286" t="inlineStr">
        <is>
          <t>Bihar</t>
        </is>
      </c>
      <c r="C286" t="inlineStr">
        <is>
          <t>Bihar_Dist_285</t>
        </is>
      </c>
      <c r="D286" t="inlineStr">
        <is>
          <t>General</t>
        </is>
      </c>
      <c r="E286" s="14" t="n">
        <v>2334</v>
      </c>
      <c r="F286" s="14" t="n">
        <v>3895</v>
      </c>
      <c r="G286" s="15" t="n">
        <v>54.97</v>
      </c>
      <c r="H286" t="n">
        <v>1</v>
      </c>
      <c r="I286" s="14" t="n">
        <v>2200</v>
      </c>
      <c r="J286" s="15" t="n">
        <v>1.77</v>
      </c>
      <c r="K286" s="15" t="n">
        <v>77</v>
      </c>
      <c r="L286" s="15" t="inlineStr">
        <is>
          <t>Under-represented</t>
        </is>
      </c>
      <c r="M286" s="15">
        <f>IFERROR((F286-E286)/E286*100,0)</f>
        <v/>
      </c>
      <c r="N286" s="14">
        <f>F286-I286</f>
        <v/>
      </c>
      <c r="O286" s="14" t="n"/>
    </row>
    <row r="287">
      <c r="A287" t="inlineStr">
        <is>
          <t>CON-286</t>
        </is>
      </c>
      <c r="B287" t="inlineStr">
        <is>
          <t>Telangana</t>
        </is>
      </c>
      <c r="C287" t="inlineStr">
        <is>
          <t>Telangana_Dist_286</t>
        </is>
      </c>
      <c r="D287" t="inlineStr">
        <is>
          <t>General</t>
        </is>
      </c>
      <c r="E287" s="14" t="n">
        <v>2985</v>
      </c>
      <c r="F287" s="14" t="n">
        <v>4106</v>
      </c>
      <c r="G287" s="15" t="n">
        <v>59.84</v>
      </c>
      <c r="H287" t="n">
        <v>1</v>
      </c>
      <c r="I287" s="14" t="n">
        <v>2200</v>
      </c>
      <c r="J287" s="15" t="n">
        <v>1.87</v>
      </c>
      <c r="K287" s="15" t="n">
        <v>87</v>
      </c>
      <c r="L287" s="15" t="inlineStr">
        <is>
          <t>Under-represented</t>
        </is>
      </c>
      <c r="M287" s="15">
        <f>IFERROR((F287-E287)/E287*100,0)</f>
        <v/>
      </c>
      <c r="N287" s="14">
        <f>F287-I287</f>
        <v/>
      </c>
      <c r="O287" s="14" t="n"/>
    </row>
    <row r="288">
      <c r="A288" t="inlineStr">
        <is>
          <t>CON-287</t>
        </is>
      </c>
      <c r="B288" t="inlineStr">
        <is>
          <t>Kerala</t>
        </is>
      </c>
      <c r="C288" t="inlineStr">
        <is>
          <t>Kerala_Dist_287</t>
        </is>
      </c>
      <c r="D288" t="inlineStr">
        <is>
          <t>SC</t>
        </is>
      </c>
      <c r="E288" s="14" t="n">
        <v>1234</v>
      </c>
      <c r="F288" s="14" t="n">
        <v>1727</v>
      </c>
      <c r="G288" s="15" t="n">
        <v>84.42</v>
      </c>
      <c r="H288" t="n">
        <v>1</v>
      </c>
      <c r="I288" s="14" t="n">
        <v>2200</v>
      </c>
      <c r="J288" s="15" t="n">
        <v>0.79</v>
      </c>
      <c r="K288" s="15" t="n">
        <v>21</v>
      </c>
      <c r="L288" s="15" t="inlineStr">
        <is>
          <t>Over-represented</t>
        </is>
      </c>
      <c r="M288" s="15">
        <f>IFERROR((F288-E288)/E288*100,0)</f>
        <v/>
      </c>
      <c r="N288" s="14">
        <f>F288-I288</f>
        <v/>
      </c>
      <c r="O288" s="14" t="n"/>
    </row>
    <row r="289">
      <c r="A289" t="inlineStr">
        <is>
          <t>CON-288</t>
        </is>
      </c>
      <c r="B289" t="inlineStr">
        <is>
          <t>Andhra Pradesh</t>
        </is>
      </c>
      <c r="C289" t="inlineStr">
        <is>
          <t>Andhra_Dist_288</t>
        </is>
      </c>
      <c r="D289" t="inlineStr">
        <is>
          <t>ST</t>
        </is>
      </c>
      <c r="E289" s="14" t="n">
        <v>1644</v>
      </c>
      <c r="F289" s="14" t="n">
        <v>2303</v>
      </c>
      <c r="G289" s="15" t="n">
        <v>78.54000000000001</v>
      </c>
      <c r="H289" t="n">
        <v>1</v>
      </c>
      <c r="I289" s="14" t="n">
        <v>2200</v>
      </c>
      <c r="J289" s="15" t="n">
        <v>1.05</v>
      </c>
      <c r="K289" s="15" t="n">
        <v>5</v>
      </c>
      <c r="L289" s="15" t="inlineStr">
        <is>
          <t>Balanced</t>
        </is>
      </c>
      <c r="M289" s="15">
        <f>IFERROR((F289-E289)/E289*100,0)</f>
        <v/>
      </c>
      <c r="N289" s="14">
        <f>F289-I289</f>
        <v/>
      </c>
      <c r="O289" s="14" t="n"/>
    </row>
    <row r="290">
      <c r="A290" t="inlineStr">
        <is>
          <t>CON-289</t>
        </is>
      </c>
      <c r="B290" t="inlineStr">
        <is>
          <t>West Bengal</t>
        </is>
      </c>
      <c r="C290" t="inlineStr">
        <is>
          <t>West_Dist_289</t>
        </is>
      </c>
      <c r="D290" t="inlineStr">
        <is>
          <t>General</t>
        </is>
      </c>
      <c r="E290" s="14" t="n">
        <v>2248</v>
      </c>
      <c r="F290" s="14" t="n">
        <v>3372</v>
      </c>
      <c r="G290" s="15" t="n">
        <v>69.54000000000001</v>
      </c>
      <c r="H290" t="n">
        <v>1</v>
      </c>
      <c r="I290" s="14" t="n">
        <v>2200</v>
      </c>
      <c r="J290" s="15" t="n">
        <v>1.53</v>
      </c>
      <c r="K290" s="15" t="n">
        <v>53</v>
      </c>
      <c r="L290" s="15" t="inlineStr">
        <is>
          <t>Under-represented</t>
        </is>
      </c>
      <c r="M290" s="15">
        <f>IFERROR((F290-E290)/E290*100,0)</f>
        <v/>
      </c>
      <c r="N290" s="14">
        <f>F290-I290</f>
        <v/>
      </c>
      <c r="O290" s="14" t="n"/>
    </row>
    <row r="291">
      <c r="A291" t="inlineStr">
        <is>
          <t>CON-290</t>
        </is>
      </c>
      <c r="B291" t="inlineStr">
        <is>
          <t>Kerala</t>
        </is>
      </c>
      <c r="C291" t="inlineStr">
        <is>
          <t>Kerala_Dist_290</t>
        </is>
      </c>
      <c r="D291" t="inlineStr">
        <is>
          <t>General</t>
        </is>
      </c>
      <c r="E291" s="14" t="n">
        <v>1675</v>
      </c>
      <c r="F291" s="14" t="n">
        <v>2333</v>
      </c>
      <c r="G291" s="15" t="n">
        <v>83.22</v>
      </c>
      <c r="H291" t="n">
        <v>1</v>
      </c>
      <c r="I291" s="14" t="n">
        <v>2200</v>
      </c>
      <c r="J291" s="15" t="n">
        <v>1.06</v>
      </c>
      <c r="K291" s="15" t="n">
        <v>6</v>
      </c>
      <c r="L291" s="15" t="inlineStr">
        <is>
          <t>Balanced</t>
        </is>
      </c>
      <c r="M291" s="15">
        <f>IFERROR((F291-E291)/E291*100,0)</f>
        <v/>
      </c>
      <c r="N291" s="14">
        <f>F291-I291</f>
        <v/>
      </c>
      <c r="O291" s="14" t="n"/>
    </row>
    <row r="292">
      <c r="A292" t="inlineStr">
        <is>
          <t>CON-291</t>
        </is>
      </c>
      <c r="B292" t="inlineStr">
        <is>
          <t>Andhra Pradesh</t>
        </is>
      </c>
      <c r="C292" t="inlineStr">
        <is>
          <t>Andhra_Dist_291</t>
        </is>
      </c>
      <c r="D292" t="inlineStr">
        <is>
          <t>General</t>
        </is>
      </c>
      <c r="E292" s="14" t="n">
        <v>1618</v>
      </c>
      <c r="F292" s="14" t="n">
        <v>2309</v>
      </c>
      <c r="G292" s="15" t="n">
        <v>54.56</v>
      </c>
      <c r="H292" t="n">
        <v>1</v>
      </c>
      <c r="I292" s="14" t="n">
        <v>2200</v>
      </c>
      <c r="J292" s="15" t="n">
        <v>1.05</v>
      </c>
      <c r="K292" s="15" t="n">
        <v>5</v>
      </c>
      <c r="L292" s="15" t="inlineStr">
        <is>
          <t>Balanced</t>
        </is>
      </c>
      <c r="M292" s="15">
        <f>IFERROR((F292-E292)/E292*100,0)</f>
        <v/>
      </c>
      <c r="N292" s="14">
        <f>F292-I292</f>
        <v/>
      </c>
      <c r="O292" s="14" t="n"/>
    </row>
    <row r="293">
      <c r="A293" t="inlineStr">
        <is>
          <t>CON-292</t>
        </is>
      </c>
      <c r="B293" t="inlineStr">
        <is>
          <t>Gujarat</t>
        </is>
      </c>
      <c r="C293" t="inlineStr">
        <is>
          <t>Gujarat_Dist_292</t>
        </is>
      </c>
      <c r="D293" t="inlineStr">
        <is>
          <t>SC</t>
        </is>
      </c>
      <c r="E293" s="14" t="n">
        <v>1303</v>
      </c>
      <c r="F293" s="14" t="n">
        <v>2209</v>
      </c>
      <c r="G293" s="15" t="n">
        <v>82.38</v>
      </c>
      <c r="H293" t="n">
        <v>1</v>
      </c>
      <c r="I293" s="14" t="n">
        <v>2200</v>
      </c>
      <c r="J293" s="15" t="n">
        <v>1</v>
      </c>
      <c r="K293" s="15" t="n">
        <v>0</v>
      </c>
      <c r="L293" s="15" t="inlineStr">
        <is>
          <t>Balanced</t>
        </is>
      </c>
      <c r="M293" s="15">
        <f>IFERROR((F293-E293)/E293*100,0)</f>
        <v/>
      </c>
      <c r="N293" s="14">
        <f>F293-I293</f>
        <v/>
      </c>
      <c r="O293" s="14" t="n"/>
    </row>
    <row r="294">
      <c r="A294" t="inlineStr">
        <is>
          <t>CON-293</t>
        </is>
      </c>
      <c r="B294" t="inlineStr">
        <is>
          <t>Telangana</t>
        </is>
      </c>
      <c r="C294" t="inlineStr">
        <is>
          <t>Telangana_Dist_293</t>
        </is>
      </c>
      <c r="D294" t="inlineStr">
        <is>
          <t>General</t>
        </is>
      </c>
      <c r="E294" s="14" t="n">
        <v>3786</v>
      </c>
      <c r="F294" s="14" t="n">
        <v>6340</v>
      </c>
      <c r="G294" s="15" t="n">
        <v>72.05</v>
      </c>
      <c r="H294" t="n">
        <v>1</v>
      </c>
      <c r="I294" s="14" t="n">
        <v>2200</v>
      </c>
      <c r="J294" s="15" t="n">
        <v>2.88</v>
      </c>
      <c r="K294" s="15" t="n">
        <v>188</v>
      </c>
      <c r="L294" s="15" t="inlineStr">
        <is>
          <t>Under-represented</t>
        </is>
      </c>
      <c r="M294" s="15">
        <f>IFERROR((F294-E294)/E294*100,0)</f>
        <v/>
      </c>
      <c r="N294" s="14">
        <f>F294-I294</f>
        <v/>
      </c>
      <c r="O294" s="14" t="n"/>
    </row>
    <row r="295">
      <c r="A295" t="inlineStr">
        <is>
          <t>CON-294</t>
        </is>
      </c>
      <c r="B295" t="inlineStr">
        <is>
          <t>Karnataka</t>
        </is>
      </c>
      <c r="C295" t="inlineStr">
        <is>
          <t>Karnataka_Dist_294</t>
        </is>
      </c>
      <c r="D295" t="inlineStr">
        <is>
          <t>General</t>
        </is>
      </c>
      <c r="E295" s="14" t="n">
        <v>2382</v>
      </c>
      <c r="F295" s="14" t="n">
        <v>3151</v>
      </c>
      <c r="G295" s="15" t="n">
        <v>68.03</v>
      </c>
      <c r="H295" t="n">
        <v>1</v>
      </c>
      <c r="I295" s="14" t="n">
        <v>2200</v>
      </c>
      <c r="J295" s="15" t="n">
        <v>1.43</v>
      </c>
      <c r="K295" s="15" t="n">
        <v>43</v>
      </c>
      <c r="L295" s="15" t="inlineStr">
        <is>
          <t>Under-represented</t>
        </is>
      </c>
      <c r="M295" s="15">
        <f>IFERROR((F295-E295)/E295*100,0)</f>
        <v/>
      </c>
      <c r="N295" s="14">
        <f>F295-I295</f>
        <v/>
      </c>
      <c r="O295" s="14" t="n"/>
    </row>
    <row r="296">
      <c r="A296" t="inlineStr">
        <is>
          <t>CON-295</t>
        </is>
      </c>
      <c r="B296" t="inlineStr">
        <is>
          <t>Gujarat</t>
        </is>
      </c>
      <c r="C296" t="inlineStr">
        <is>
          <t>Gujarat_Dist_295</t>
        </is>
      </c>
      <c r="D296" t="inlineStr">
        <is>
          <t>General</t>
        </is>
      </c>
      <c r="E296" s="14" t="n">
        <v>1369</v>
      </c>
      <c r="F296" s="14" t="n">
        <v>2001</v>
      </c>
      <c r="G296" s="15" t="n">
        <v>60.46</v>
      </c>
      <c r="H296" t="n">
        <v>1</v>
      </c>
      <c r="I296" s="14" t="n">
        <v>2200</v>
      </c>
      <c r="J296" s="15" t="n">
        <v>0.91</v>
      </c>
      <c r="K296" s="15" t="n">
        <v>9</v>
      </c>
      <c r="L296" s="15" t="inlineStr">
        <is>
          <t>Balanced</t>
        </is>
      </c>
      <c r="M296" s="15">
        <f>IFERROR((F296-E296)/E296*100,0)</f>
        <v/>
      </c>
      <c r="N296" s="14">
        <f>F296-I296</f>
        <v/>
      </c>
      <c r="O296" s="14" t="n"/>
    </row>
    <row r="297">
      <c r="A297" t="inlineStr">
        <is>
          <t>CON-296</t>
        </is>
      </c>
      <c r="B297" t="inlineStr">
        <is>
          <t>Uttar Pradesh</t>
        </is>
      </c>
      <c r="C297" t="inlineStr">
        <is>
          <t>Uttar_Dist_296</t>
        </is>
      </c>
      <c r="D297" t="inlineStr">
        <is>
          <t>ST</t>
        </is>
      </c>
      <c r="E297" s="14" t="n">
        <v>2633</v>
      </c>
      <c r="F297" s="14" t="n">
        <v>3706</v>
      </c>
      <c r="G297" s="15" t="n">
        <v>65.84</v>
      </c>
      <c r="H297" t="n">
        <v>1</v>
      </c>
      <c r="I297" s="14" t="n">
        <v>2200</v>
      </c>
      <c r="J297" s="15" t="n">
        <v>1.68</v>
      </c>
      <c r="K297" s="15" t="n">
        <v>68</v>
      </c>
      <c r="L297" s="15" t="inlineStr">
        <is>
          <t>Under-represented</t>
        </is>
      </c>
      <c r="M297" s="15">
        <f>IFERROR((F297-E297)/E297*100,0)</f>
        <v/>
      </c>
      <c r="N297" s="14">
        <f>F297-I297</f>
        <v/>
      </c>
      <c r="O297" s="14" t="n"/>
    </row>
    <row r="298">
      <c r="A298" t="inlineStr">
        <is>
          <t>CON-297</t>
        </is>
      </c>
      <c r="B298" t="inlineStr">
        <is>
          <t>Uttar Pradesh</t>
        </is>
      </c>
      <c r="C298" t="inlineStr">
        <is>
          <t>Uttar_Dist_297</t>
        </is>
      </c>
      <c r="D298" t="inlineStr">
        <is>
          <t>SC</t>
        </is>
      </c>
      <c r="E298" s="14" t="n">
        <v>1837</v>
      </c>
      <c r="F298" s="14" t="n">
        <v>2643</v>
      </c>
      <c r="G298" s="15" t="n">
        <v>80.45</v>
      </c>
      <c r="H298" t="n">
        <v>1</v>
      </c>
      <c r="I298" s="14" t="n">
        <v>2200</v>
      </c>
      <c r="J298" s="15" t="n">
        <v>1.2</v>
      </c>
      <c r="K298" s="15" t="n">
        <v>20</v>
      </c>
      <c r="L298" s="15" t="inlineStr">
        <is>
          <t>Balanced</t>
        </is>
      </c>
      <c r="M298" s="15">
        <f>IFERROR((F298-E298)/E298*100,0)</f>
        <v/>
      </c>
      <c r="N298" s="14">
        <f>F298-I298</f>
        <v/>
      </c>
      <c r="O298" s="14" t="n"/>
    </row>
    <row r="299">
      <c r="A299" t="inlineStr">
        <is>
          <t>CON-298</t>
        </is>
      </c>
      <c r="B299" t="inlineStr">
        <is>
          <t>Uttar Pradesh</t>
        </is>
      </c>
      <c r="C299" t="inlineStr">
        <is>
          <t>Uttar_Dist_298</t>
        </is>
      </c>
      <c r="D299" t="inlineStr">
        <is>
          <t>General</t>
        </is>
      </c>
      <c r="E299" s="14" t="n">
        <v>1709</v>
      </c>
      <c r="F299" s="14" t="n">
        <v>2258</v>
      </c>
      <c r="G299" s="15" t="n">
        <v>57.31</v>
      </c>
      <c r="H299" t="n">
        <v>1</v>
      </c>
      <c r="I299" s="14" t="n">
        <v>2200</v>
      </c>
      <c r="J299" s="15" t="n">
        <v>1.03</v>
      </c>
      <c r="K299" s="15" t="n">
        <v>3</v>
      </c>
      <c r="L299" s="15" t="inlineStr">
        <is>
          <t>Balanced</t>
        </is>
      </c>
      <c r="M299" s="15">
        <f>IFERROR((F299-E299)/E299*100,0)</f>
        <v/>
      </c>
      <c r="N299" s="14">
        <f>F299-I299</f>
        <v/>
      </c>
      <c r="O299" s="14" t="n"/>
    </row>
    <row r="300">
      <c r="A300" t="inlineStr">
        <is>
          <t>CON-299</t>
        </is>
      </c>
      <c r="B300" t="inlineStr">
        <is>
          <t>Andhra Pradesh</t>
        </is>
      </c>
      <c r="C300" t="inlineStr">
        <is>
          <t>Andhra_Dist_299</t>
        </is>
      </c>
      <c r="D300" t="inlineStr">
        <is>
          <t>General</t>
        </is>
      </c>
      <c r="E300" s="14" t="n">
        <v>1900</v>
      </c>
      <c r="F300" s="14" t="n">
        <v>2584</v>
      </c>
      <c r="G300" s="15" t="n">
        <v>72.31999999999999</v>
      </c>
      <c r="H300" t="n">
        <v>1</v>
      </c>
      <c r="I300" s="14" t="n">
        <v>2200</v>
      </c>
      <c r="J300" s="15" t="n">
        <v>1.17</v>
      </c>
      <c r="K300" s="15" t="n">
        <v>17</v>
      </c>
      <c r="L300" s="15" t="inlineStr">
        <is>
          <t>Balanced</t>
        </is>
      </c>
      <c r="M300" s="15">
        <f>IFERROR((F300-E300)/E300*100,0)</f>
        <v/>
      </c>
      <c r="N300" s="14">
        <f>F300-I300</f>
        <v/>
      </c>
      <c r="O300" s="14" t="n"/>
    </row>
    <row r="301">
      <c r="A301" t="inlineStr">
        <is>
          <t>CON-300</t>
        </is>
      </c>
      <c r="B301" t="inlineStr">
        <is>
          <t>Kerala</t>
        </is>
      </c>
      <c r="C301" t="inlineStr">
        <is>
          <t>Kerala_Dist_300</t>
        </is>
      </c>
      <c r="D301" t="inlineStr">
        <is>
          <t>General</t>
        </is>
      </c>
      <c r="E301" s="14" t="n">
        <v>2484</v>
      </c>
      <c r="F301" s="14" t="n">
        <v>3359</v>
      </c>
      <c r="G301" s="15" t="n">
        <v>79.06</v>
      </c>
      <c r="H301" t="n">
        <v>1</v>
      </c>
      <c r="I301" s="14" t="n">
        <v>2200</v>
      </c>
      <c r="J301" s="15" t="n">
        <v>1.53</v>
      </c>
      <c r="K301" s="15" t="n">
        <v>53</v>
      </c>
      <c r="L301" s="15" t="inlineStr">
        <is>
          <t>Under-represented</t>
        </is>
      </c>
      <c r="M301" s="15">
        <f>IFERROR((F301-E301)/E301*100,0)</f>
        <v/>
      </c>
      <c r="N301" s="14">
        <f>F301-I301</f>
        <v/>
      </c>
      <c r="O301" s="14" t="n"/>
    </row>
    <row r="302">
      <c r="A302" t="inlineStr">
        <is>
          <t>CON-301</t>
        </is>
      </c>
      <c r="B302" t="inlineStr">
        <is>
          <t>Karnataka</t>
        </is>
      </c>
      <c r="C302" t="inlineStr">
        <is>
          <t>Karnataka_Dist_301</t>
        </is>
      </c>
      <c r="D302" t="inlineStr">
        <is>
          <t>General</t>
        </is>
      </c>
      <c r="E302" s="14" t="n">
        <v>3621</v>
      </c>
      <c r="F302" s="14" t="n">
        <v>5309</v>
      </c>
      <c r="G302" s="15" t="n">
        <v>80.08</v>
      </c>
      <c r="H302" t="n">
        <v>1</v>
      </c>
      <c r="I302" s="14" t="n">
        <v>2200</v>
      </c>
      <c r="J302" s="15" t="n">
        <v>2.41</v>
      </c>
      <c r="K302" s="15" t="n">
        <v>141</v>
      </c>
      <c r="L302" s="15" t="inlineStr">
        <is>
          <t>Under-represented</t>
        </is>
      </c>
      <c r="M302" s="15">
        <f>IFERROR((F302-E302)/E302*100,0)</f>
        <v/>
      </c>
      <c r="N302" s="14">
        <f>F302-I302</f>
        <v/>
      </c>
      <c r="O302" s="14" t="n"/>
    </row>
    <row r="303">
      <c r="A303" t="inlineStr">
        <is>
          <t>CON-302</t>
        </is>
      </c>
      <c r="B303" t="inlineStr">
        <is>
          <t>Bihar</t>
        </is>
      </c>
      <c r="C303" t="inlineStr">
        <is>
          <t>Bihar_Dist_302</t>
        </is>
      </c>
      <c r="D303" t="inlineStr">
        <is>
          <t>General</t>
        </is>
      </c>
      <c r="E303" s="14" t="n">
        <v>2878</v>
      </c>
      <c r="F303" s="14" t="n">
        <v>4988</v>
      </c>
      <c r="G303" s="15" t="n">
        <v>62.58</v>
      </c>
      <c r="H303" t="n">
        <v>1</v>
      </c>
      <c r="I303" s="14" t="n">
        <v>2200</v>
      </c>
      <c r="J303" s="15" t="n">
        <v>2.27</v>
      </c>
      <c r="K303" s="15" t="n">
        <v>127</v>
      </c>
      <c r="L303" s="15" t="inlineStr">
        <is>
          <t>Under-represented</t>
        </is>
      </c>
      <c r="M303" s="15">
        <f>IFERROR((F303-E303)/E303*100,0)</f>
        <v/>
      </c>
      <c r="N303" s="14">
        <f>F303-I303</f>
        <v/>
      </c>
      <c r="O303" s="14" t="n"/>
    </row>
    <row r="304">
      <c r="A304" t="inlineStr">
        <is>
          <t>CON-303</t>
        </is>
      </c>
      <c r="B304" t="inlineStr">
        <is>
          <t>Kerala</t>
        </is>
      </c>
      <c r="C304" t="inlineStr">
        <is>
          <t>Kerala_Dist_303</t>
        </is>
      </c>
      <c r="D304" t="inlineStr">
        <is>
          <t>SC</t>
        </is>
      </c>
      <c r="E304" s="14" t="n">
        <v>2364</v>
      </c>
      <c r="F304" s="14" t="n">
        <v>3549</v>
      </c>
      <c r="G304" s="15" t="n">
        <v>81.98999999999999</v>
      </c>
      <c r="H304" t="n">
        <v>1</v>
      </c>
      <c r="I304" s="14" t="n">
        <v>2200</v>
      </c>
      <c r="J304" s="15" t="n">
        <v>1.61</v>
      </c>
      <c r="K304" s="15" t="n">
        <v>61</v>
      </c>
      <c r="L304" s="15" t="inlineStr">
        <is>
          <t>Under-represented</t>
        </is>
      </c>
      <c r="M304" s="15">
        <f>IFERROR((F304-E304)/E304*100,0)</f>
        <v/>
      </c>
      <c r="N304" s="14">
        <f>F304-I304</f>
        <v/>
      </c>
      <c r="O304" s="14" t="n"/>
    </row>
    <row r="305">
      <c r="A305" t="inlineStr">
        <is>
          <t>CON-304</t>
        </is>
      </c>
      <c r="B305" t="inlineStr">
        <is>
          <t>Gujarat</t>
        </is>
      </c>
      <c r="C305" t="inlineStr">
        <is>
          <t>Gujarat_Dist_304</t>
        </is>
      </c>
      <c r="D305" t="inlineStr">
        <is>
          <t>General</t>
        </is>
      </c>
      <c r="E305" s="14" t="n">
        <v>2685</v>
      </c>
      <c r="F305" s="14" t="n">
        <v>4272</v>
      </c>
      <c r="G305" s="15" t="n">
        <v>57.99</v>
      </c>
      <c r="H305" t="n">
        <v>1</v>
      </c>
      <c r="I305" s="14" t="n">
        <v>2200</v>
      </c>
      <c r="J305" s="15" t="n">
        <v>1.94</v>
      </c>
      <c r="K305" s="15" t="n">
        <v>94</v>
      </c>
      <c r="L305" s="15" t="inlineStr">
        <is>
          <t>Under-represented</t>
        </is>
      </c>
      <c r="M305" s="15">
        <f>IFERROR((F305-E305)/E305*100,0)</f>
        <v/>
      </c>
      <c r="N305" s="14">
        <f>F305-I305</f>
        <v/>
      </c>
      <c r="O305" s="14" t="n"/>
    </row>
    <row r="306">
      <c r="A306" t="inlineStr">
        <is>
          <t>CON-305</t>
        </is>
      </c>
      <c r="B306" t="inlineStr">
        <is>
          <t>Telangana</t>
        </is>
      </c>
      <c r="C306" t="inlineStr">
        <is>
          <t>Telangana_Dist_305</t>
        </is>
      </c>
      <c r="D306" t="inlineStr">
        <is>
          <t>General</t>
        </is>
      </c>
      <c r="E306" s="14" t="n">
        <v>1401</v>
      </c>
      <c r="F306" s="14" t="n">
        <v>2383</v>
      </c>
      <c r="G306" s="15" t="n">
        <v>77.84999999999999</v>
      </c>
      <c r="H306" t="n">
        <v>1</v>
      </c>
      <c r="I306" s="14" t="n">
        <v>2200</v>
      </c>
      <c r="J306" s="15" t="n">
        <v>1.08</v>
      </c>
      <c r="K306" s="15" t="n">
        <v>8</v>
      </c>
      <c r="L306" s="15" t="inlineStr">
        <is>
          <t>Balanced</t>
        </is>
      </c>
      <c r="M306" s="15">
        <f>IFERROR((F306-E306)/E306*100,0)</f>
        <v/>
      </c>
      <c r="N306" s="14">
        <f>F306-I306</f>
        <v/>
      </c>
      <c r="O306" s="14" t="n"/>
    </row>
    <row r="307">
      <c r="A307" t="inlineStr">
        <is>
          <t>CON-306</t>
        </is>
      </c>
      <c r="B307" t="inlineStr">
        <is>
          <t>Maharashtra</t>
        </is>
      </c>
      <c r="C307" t="inlineStr">
        <is>
          <t>Maharashtra_Dist_306</t>
        </is>
      </c>
      <c r="D307" t="inlineStr">
        <is>
          <t>General</t>
        </is>
      </c>
      <c r="E307" s="14" t="n">
        <v>1449</v>
      </c>
      <c r="F307" s="14" t="n">
        <v>2355</v>
      </c>
      <c r="G307" s="15" t="n">
        <v>63.08</v>
      </c>
      <c r="H307" t="n">
        <v>1</v>
      </c>
      <c r="I307" s="14" t="n">
        <v>2200</v>
      </c>
      <c r="J307" s="15" t="n">
        <v>1.07</v>
      </c>
      <c r="K307" s="15" t="n">
        <v>7</v>
      </c>
      <c r="L307" s="15" t="inlineStr">
        <is>
          <t>Balanced</t>
        </is>
      </c>
      <c r="M307" s="15">
        <f>IFERROR((F307-E307)/E307*100,0)</f>
        <v/>
      </c>
      <c r="N307" s="14">
        <f>F307-I307</f>
        <v/>
      </c>
      <c r="O307" s="14" t="n"/>
    </row>
    <row r="308">
      <c r="A308" t="inlineStr">
        <is>
          <t>CON-307</t>
        </is>
      </c>
      <c r="B308" t="inlineStr">
        <is>
          <t>Uttar Pradesh</t>
        </is>
      </c>
      <c r="C308" t="inlineStr">
        <is>
          <t>Uttar_Dist_307</t>
        </is>
      </c>
      <c r="D308" t="inlineStr">
        <is>
          <t>General</t>
        </is>
      </c>
      <c r="E308" s="14" t="n">
        <v>1258</v>
      </c>
      <c r="F308" s="14" t="n">
        <v>2005</v>
      </c>
      <c r="G308" s="15" t="n">
        <v>57.22</v>
      </c>
      <c r="H308" t="n">
        <v>1</v>
      </c>
      <c r="I308" s="14" t="n">
        <v>2200</v>
      </c>
      <c r="J308" s="15" t="n">
        <v>0.91</v>
      </c>
      <c r="K308" s="15" t="n">
        <v>9</v>
      </c>
      <c r="L308" s="15" t="inlineStr">
        <is>
          <t>Balanced</t>
        </is>
      </c>
      <c r="M308" s="15">
        <f>IFERROR((F308-E308)/E308*100,0)</f>
        <v/>
      </c>
      <c r="N308" s="14">
        <f>F308-I308</f>
        <v/>
      </c>
      <c r="O308" s="14" t="n"/>
    </row>
    <row r="309">
      <c r="A309" t="inlineStr">
        <is>
          <t>CON-308</t>
        </is>
      </c>
      <c r="B309" t="inlineStr">
        <is>
          <t>Maharashtra</t>
        </is>
      </c>
      <c r="C309" t="inlineStr">
        <is>
          <t>Maharashtra_Dist_308</t>
        </is>
      </c>
      <c r="D309" t="inlineStr">
        <is>
          <t>General</t>
        </is>
      </c>
      <c r="E309" s="14" t="n">
        <v>2719</v>
      </c>
      <c r="F309" s="14" t="n">
        <v>4730</v>
      </c>
      <c r="G309" s="15" t="n">
        <v>66.17</v>
      </c>
      <c r="H309" t="n">
        <v>1</v>
      </c>
      <c r="I309" s="14" t="n">
        <v>2200</v>
      </c>
      <c r="J309" s="15" t="n">
        <v>2.15</v>
      </c>
      <c r="K309" s="15" t="n">
        <v>115</v>
      </c>
      <c r="L309" s="15" t="inlineStr">
        <is>
          <t>Under-represented</t>
        </is>
      </c>
      <c r="M309" s="15">
        <f>IFERROR((F309-E309)/E309*100,0)</f>
        <v/>
      </c>
      <c r="N309" s="14">
        <f>F309-I309</f>
        <v/>
      </c>
      <c r="O309" s="14" t="n"/>
    </row>
    <row r="310">
      <c r="A310" t="inlineStr">
        <is>
          <t>CON-309</t>
        </is>
      </c>
      <c r="B310" t="inlineStr">
        <is>
          <t>Bihar</t>
        </is>
      </c>
      <c r="C310" t="inlineStr">
        <is>
          <t>Bihar_Dist_309</t>
        </is>
      </c>
      <c r="D310" t="inlineStr">
        <is>
          <t>General</t>
        </is>
      </c>
      <c r="E310" s="14" t="n">
        <v>2352</v>
      </c>
      <c r="F310" s="14" t="n">
        <v>3648</v>
      </c>
      <c r="G310" s="15" t="n">
        <v>67.88</v>
      </c>
      <c r="H310" t="n">
        <v>1</v>
      </c>
      <c r="I310" s="14" t="n">
        <v>2200</v>
      </c>
      <c r="J310" s="15" t="n">
        <v>1.66</v>
      </c>
      <c r="K310" s="15" t="n">
        <v>66</v>
      </c>
      <c r="L310" s="15" t="inlineStr">
        <is>
          <t>Under-represented</t>
        </is>
      </c>
      <c r="M310" s="15">
        <f>IFERROR((F310-E310)/E310*100,0)</f>
        <v/>
      </c>
      <c r="N310" s="14">
        <f>F310-I310</f>
        <v/>
      </c>
      <c r="O310" s="14" t="n"/>
    </row>
    <row r="311">
      <c r="A311" t="inlineStr">
        <is>
          <t>CON-310</t>
        </is>
      </c>
      <c r="B311" t="inlineStr">
        <is>
          <t>Tamil Nadu</t>
        </is>
      </c>
      <c r="C311" t="inlineStr">
        <is>
          <t>Tamil_Dist_310</t>
        </is>
      </c>
      <c r="D311" t="inlineStr">
        <is>
          <t>General</t>
        </is>
      </c>
      <c r="E311" s="14" t="n">
        <v>2697</v>
      </c>
      <c r="F311" s="14" t="n">
        <v>3881</v>
      </c>
      <c r="G311" s="15" t="n">
        <v>61.7</v>
      </c>
      <c r="H311" t="n">
        <v>1</v>
      </c>
      <c r="I311" s="14" t="n">
        <v>2200</v>
      </c>
      <c r="J311" s="15" t="n">
        <v>1.76</v>
      </c>
      <c r="K311" s="15" t="n">
        <v>76</v>
      </c>
      <c r="L311" s="15" t="inlineStr">
        <is>
          <t>Under-represented</t>
        </is>
      </c>
      <c r="M311" s="15">
        <f>IFERROR((F311-E311)/E311*100,0)</f>
        <v/>
      </c>
      <c r="N311" s="14">
        <f>F311-I311</f>
        <v/>
      </c>
      <c r="O311" s="14" t="n"/>
    </row>
    <row r="312">
      <c r="A312" t="inlineStr">
        <is>
          <t>CON-311</t>
        </is>
      </c>
      <c r="B312" t="inlineStr">
        <is>
          <t>Telangana</t>
        </is>
      </c>
      <c r="C312" t="inlineStr">
        <is>
          <t>Telangana_Dist_311</t>
        </is>
      </c>
      <c r="D312" t="inlineStr">
        <is>
          <t>General</t>
        </is>
      </c>
      <c r="E312" s="14" t="n">
        <v>2273</v>
      </c>
      <c r="F312" s="14" t="n">
        <v>3324</v>
      </c>
      <c r="G312" s="15" t="n">
        <v>79.3</v>
      </c>
      <c r="H312" t="n">
        <v>1</v>
      </c>
      <c r="I312" s="14" t="n">
        <v>2200</v>
      </c>
      <c r="J312" s="15" t="n">
        <v>1.51</v>
      </c>
      <c r="K312" s="15" t="n">
        <v>51</v>
      </c>
      <c r="L312" s="15" t="inlineStr">
        <is>
          <t>Under-represented</t>
        </is>
      </c>
      <c r="M312" s="15">
        <f>IFERROR((F312-E312)/E312*100,0)</f>
        <v/>
      </c>
      <c r="N312" s="14">
        <f>F312-I312</f>
        <v/>
      </c>
      <c r="O312" s="14" t="n"/>
    </row>
    <row r="313">
      <c r="A313" t="inlineStr">
        <is>
          <t>CON-312</t>
        </is>
      </c>
      <c r="B313" t="inlineStr">
        <is>
          <t>Bihar</t>
        </is>
      </c>
      <c r="C313" t="inlineStr">
        <is>
          <t>Bihar_Dist_312</t>
        </is>
      </c>
      <c r="D313" t="inlineStr">
        <is>
          <t>ST</t>
        </is>
      </c>
      <c r="E313" s="14" t="n">
        <v>2168</v>
      </c>
      <c r="F313" s="14" t="n">
        <v>3308</v>
      </c>
      <c r="G313" s="15" t="n">
        <v>55.92</v>
      </c>
      <c r="H313" t="n">
        <v>1</v>
      </c>
      <c r="I313" s="14" t="n">
        <v>2200</v>
      </c>
      <c r="J313" s="15" t="n">
        <v>1.5</v>
      </c>
      <c r="K313" s="15" t="n">
        <v>50</v>
      </c>
      <c r="L313" s="15" t="inlineStr">
        <is>
          <t>Under-represented</t>
        </is>
      </c>
      <c r="M313" s="15">
        <f>IFERROR((F313-E313)/E313*100,0)</f>
        <v/>
      </c>
      <c r="N313" s="14">
        <f>F313-I313</f>
        <v/>
      </c>
      <c r="O313" s="14" t="n"/>
    </row>
    <row r="314">
      <c r="A314" t="inlineStr">
        <is>
          <t>CON-313</t>
        </is>
      </c>
      <c r="B314" t="inlineStr">
        <is>
          <t>Tamil Nadu</t>
        </is>
      </c>
      <c r="C314" t="inlineStr">
        <is>
          <t>Tamil_Dist_313</t>
        </is>
      </c>
      <c r="D314" t="inlineStr">
        <is>
          <t>SC</t>
        </is>
      </c>
      <c r="E314" s="14" t="n">
        <v>2872</v>
      </c>
      <c r="F314" s="14" t="n">
        <v>4446</v>
      </c>
      <c r="G314" s="15" t="n">
        <v>55.85</v>
      </c>
      <c r="H314" t="n">
        <v>1</v>
      </c>
      <c r="I314" s="14" t="n">
        <v>2200</v>
      </c>
      <c r="J314" s="15" t="n">
        <v>2.02</v>
      </c>
      <c r="K314" s="15" t="n">
        <v>102</v>
      </c>
      <c r="L314" s="15" t="inlineStr">
        <is>
          <t>Under-represented</t>
        </is>
      </c>
      <c r="M314" s="15">
        <f>IFERROR((F314-E314)/E314*100,0)</f>
        <v/>
      </c>
      <c r="N314" s="14">
        <f>F314-I314</f>
        <v/>
      </c>
      <c r="O314" s="14" t="n"/>
    </row>
    <row r="315">
      <c r="A315" t="inlineStr">
        <is>
          <t>CON-314</t>
        </is>
      </c>
      <c r="B315" t="inlineStr">
        <is>
          <t>Kerala</t>
        </is>
      </c>
      <c r="C315" t="inlineStr">
        <is>
          <t>Kerala_Dist_314</t>
        </is>
      </c>
      <c r="D315" t="inlineStr">
        <is>
          <t>General</t>
        </is>
      </c>
      <c r="E315" s="14" t="n">
        <v>3461</v>
      </c>
      <c r="F315" s="14" t="n">
        <v>5832</v>
      </c>
      <c r="G315" s="15" t="n">
        <v>82.31</v>
      </c>
      <c r="H315" t="n">
        <v>1</v>
      </c>
      <c r="I315" s="14" t="n">
        <v>2200</v>
      </c>
      <c r="J315" s="15" t="n">
        <v>2.65</v>
      </c>
      <c r="K315" s="15" t="n">
        <v>165</v>
      </c>
      <c r="L315" s="15" t="inlineStr">
        <is>
          <t>Under-represented</t>
        </is>
      </c>
      <c r="M315" s="15">
        <f>IFERROR((F315-E315)/E315*100,0)</f>
        <v/>
      </c>
      <c r="N315" s="14">
        <f>F315-I315</f>
        <v/>
      </c>
      <c r="O315" s="14" t="n"/>
    </row>
    <row r="316">
      <c r="A316" t="inlineStr">
        <is>
          <t>CON-315</t>
        </is>
      </c>
      <c r="B316" t="inlineStr">
        <is>
          <t>Tamil Nadu</t>
        </is>
      </c>
      <c r="C316" t="inlineStr">
        <is>
          <t>Tamil_Dist_315</t>
        </is>
      </c>
      <c r="D316" t="inlineStr">
        <is>
          <t>General</t>
        </is>
      </c>
      <c r="E316" s="14" t="n">
        <v>3593</v>
      </c>
      <c r="F316" s="14" t="n">
        <v>5950</v>
      </c>
      <c r="G316" s="15" t="n">
        <v>74.58</v>
      </c>
      <c r="H316" t="n">
        <v>1</v>
      </c>
      <c r="I316" s="14" t="n">
        <v>2200</v>
      </c>
      <c r="J316" s="15" t="n">
        <v>2.7</v>
      </c>
      <c r="K316" s="15" t="n">
        <v>170</v>
      </c>
      <c r="L316" s="15" t="inlineStr">
        <is>
          <t>Under-represented</t>
        </is>
      </c>
      <c r="M316" s="15">
        <f>IFERROR((F316-E316)/E316*100,0)</f>
        <v/>
      </c>
      <c r="N316" s="14">
        <f>F316-I316</f>
        <v/>
      </c>
      <c r="O316" s="14" t="n"/>
    </row>
    <row r="317">
      <c r="A317" t="inlineStr">
        <is>
          <t>CON-316</t>
        </is>
      </c>
      <c r="B317" t="inlineStr">
        <is>
          <t>Uttar Pradesh</t>
        </is>
      </c>
      <c r="C317" t="inlineStr">
        <is>
          <t>Uttar_Dist_316</t>
        </is>
      </c>
      <c r="D317" t="inlineStr">
        <is>
          <t>General</t>
        </is>
      </c>
      <c r="E317" s="14" t="n">
        <v>3376</v>
      </c>
      <c r="F317" s="14" t="n">
        <v>4379</v>
      </c>
      <c r="G317" s="15" t="n">
        <v>59.59</v>
      </c>
      <c r="H317" t="n">
        <v>1</v>
      </c>
      <c r="I317" s="14" t="n">
        <v>2200</v>
      </c>
      <c r="J317" s="15" t="n">
        <v>1.99</v>
      </c>
      <c r="K317" s="15" t="n">
        <v>99</v>
      </c>
      <c r="L317" s="15" t="inlineStr">
        <is>
          <t>Under-represented</t>
        </is>
      </c>
      <c r="M317" s="15">
        <f>IFERROR((F317-E317)/E317*100,0)</f>
        <v/>
      </c>
      <c r="N317" s="14">
        <f>F317-I317</f>
        <v/>
      </c>
      <c r="O317" s="14" t="n"/>
    </row>
    <row r="318">
      <c r="A318" t="inlineStr">
        <is>
          <t>CON-317</t>
        </is>
      </c>
      <c r="B318" t="inlineStr">
        <is>
          <t>West Bengal</t>
        </is>
      </c>
      <c r="C318" t="inlineStr">
        <is>
          <t>West_Dist_317</t>
        </is>
      </c>
      <c r="D318" t="inlineStr">
        <is>
          <t>SC</t>
        </is>
      </c>
      <c r="E318" s="14" t="n">
        <v>3278</v>
      </c>
      <c r="F318" s="14" t="n">
        <v>4992</v>
      </c>
      <c r="G318" s="15" t="n">
        <v>53.57</v>
      </c>
      <c r="H318" t="n">
        <v>1</v>
      </c>
      <c r="I318" s="14" t="n">
        <v>2200</v>
      </c>
      <c r="J318" s="15" t="n">
        <v>2.27</v>
      </c>
      <c r="K318" s="15" t="n">
        <v>127</v>
      </c>
      <c r="L318" s="15" t="inlineStr">
        <is>
          <t>Under-represented</t>
        </is>
      </c>
      <c r="M318" s="15">
        <f>IFERROR((F318-E318)/E318*100,0)</f>
        <v/>
      </c>
      <c r="N318" s="14">
        <f>F318-I318</f>
        <v/>
      </c>
      <c r="O318" s="14" t="n"/>
    </row>
    <row r="319">
      <c r="A319" t="inlineStr">
        <is>
          <t>CON-318</t>
        </is>
      </c>
      <c r="B319" t="inlineStr">
        <is>
          <t>Karnataka</t>
        </is>
      </c>
      <c r="C319" t="inlineStr">
        <is>
          <t>Karnataka_Dist_318</t>
        </is>
      </c>
      <c r="D319" t="inlineStr">
        <is>
          <t>General</t>
        </is>
      </c>
      <c r="E319" s="14" t="n">
        <v>2327</v>
      </c>
      <c r="F319" s="14" t="n">
        <v>3255</v>
      </c>
      <c r="G319" s="15" t="n">
        <v>64.42</v>
      </c>
      <c r="H319" t="n">
        <v>1</v>
      </c>
      <c r="I319" s="14" t="n">
        <v>2200</v>
      </c>
      <c r="J319" s="15" t="n">
        <v>1.48</v>
      </c>
      <c r="K319" s="15" t="n">
        <v>48</v>
      </c>
      <c r="L319" s="15" t="inlineStr">
        <is>
          <t>Under-represented</t>
        </is>
      </c>
      <c r="M319" s="15">
        <f>IFERROR((F319-E319)/E319*100,0)</f>
        <v/>
      </c>
      <c r="N319" s="14">
        <f>F319-I319</f>
        <v/>
      </c>
      <c r="O319" s="14" t="n"/>
    </row>
    <row r="320">
      <c r="A320" t="inlineStr">
        <is>
          <t>CON-319</t>
        </is>
      </c>
      <c r="B320" t="inlineStr">
        <is>
          <t>Maharashtra</t>
        </is>
      </c>
      <c r="C320" t="inlineStr">
        <is>
          <t>Maharashtra_Dist_319</t>
        </is>
      </c>
      <c r="D320" t="inlineStr">
        <is>
          <t>General</t>
        </is>
      </c>
      <c r="E320" s="14" t="n">
        <v>1401</v>
      </c>
      <c r="F320" s="14" t="n">
        <v>1983</v>
      </c>
      <c r="G320" s="15" t="n">
        <v>57.07</v>
      </c>
      <c r="H320" t="n">
        <v>1</v>
      </c>
      <c r="I320" s="14" t="n">
        <v>2200</v>
      </c>
      <c r="J320" s="15" t="n">
        <v>0.9</v>
      </c>
      <c r="K320" s="15" t="n">
        <v>10</v>
      </c>
      <c r="L320" s="15" t="inlineStr">
        <is>
          <t>Balanced</t>
        </is>
      </c>
      <c r="M320" s="15">
        <f>IFERROR((F320-E320)/E320*100,0)</f>
        <v/>
      </c>
      <c r="N320" s="14">
        <f>F320-I320</f>
        <v/>
      </c>
      <c r="O320" s="14" t="n"/>
    </row>
    <row r="321">
      <c r="A321" t="inlineStr">
        <is>
          <t>CON-320</t>
        </is>
      </c>
      <c r="B321" t="inlineStr">
        <is>
          <t>Karnataka</t>
        </is>
      </c>
      <c r="C321" t="inlineStr">
        <is>
          <t>Karnataka_Dist_320</t>
        </is>
      </c>
      <c r="D321" t="inlineStr">
        <is>
          <t>General</t>
        </is>
      </c>
      <c r="E321" s="14" t="n">
        <v>1633</v>
      </c>
      <c r="F321" s="14" t="n">
        <v>2417</v>
      </c>
      <c r="G321" s="15" t="n">
        <v>63.12</v>
      </c>
      <c r="H321" t="n">
        <v>1</v>
      </c>
      <c r="I321" s="14" t="n">
        <v>2200</v>
      </c>
      <c r="J321" s="15" t="n">
        <v>1.1</v>
      </c>
      <c r="K321" s="15" t="n">
        <v>10</v>
      </c>
      <c r="L321" s="15" t="inlineStr">
        <is>
          <t>Balanced</t>
        </is>
      </c>
      <c r="M321" s="15">
        <f>IFERROR((F321-E321)/E321*100,0)</f>
        <v/>
      </c>
      <c r="N321" s="14">
        <f>F321-I321</f>
        <v/>
      </c>
      <c r="O321" s="14" t="n"/>
    </row>
    <row r="322">
      <c r="A322" t="inlineStr">
        <is>
          <t>CON-321</t>
        </is>
      </c>
      <c r="B322" t="inlineStr">
        <is>
          <t>Maharashtra</t>
        </is>
      </c>
      <c r="C322" t="inlineStr">
        <is>
          <t>Maharashtra_Dist_321</t>
        </is>
      </c>
      <c r="D322" t="inlineStr">
        <is>
          <t>General</t>
        </is>
      </c>
      <c r="E322" s="14" t="n">
        <v>1945</v>
      </c>
      <c r="F322" s="14" t="n">
        <v>2524</v>
      </c>
      <c r="G322" s="15" t="n">
        <v>57.15</v>
      </c>
      <c r="H322" t="n">
        <v>1</v>
      </c>
      <c r="I322" s="14" t="n">
        <v>2200</v>
      </c>
      <c r="J322" s="15" t="n">
        <v>1.15</v>
      </c>
      <c r="K322" s="15" t="n">
        <v>15</v>
      </c>
      <c r="L322" s="15" t="inlineStr">
        <is>
          <t>Balanced</t>
        </is>
      </c>
      <c r="M322" s="15">
        <f>IFERROR((F322-E322)/E322*100,0)</f>
        <v/>
      </c>
      <c r="N322" s="14">
        <f>F322-I322</f>
        <v/>
      </c>
      <c r="O322" s="14" t="n"/>
    </row>
    <row r="323">
      <c r="A323" t="inlineStr">
        <is>
          <t>CON-322</t>
        </is>
      </c>
      <c r="B323" t="inlineStr">
        <is>
          <t>Gujarat</t>
        </is>
      </c>
      <c r="C323" t="inlineStr">
        <is>
          <t>Gujarat_Dist_322</t>
        </is>
      </c>
      <c r="D323" t="inlineStr">
        <is>
          <t>General</t>
        </is>
      </c>
      <c r="E323" s="14" t="n">
        <v>2176</v>
      </c>
      <c r="F323" s="14" t="n">
        <v>3294</v>
      </c>
      <c r="G323" s="15" t="n">
        <v>74.55</v>
      </c>
      <c r="H323" t="n">
        <v>1</v>
      </c>
      <c r="I323" s="14" t="n">
        <v>2200</v>
      </c>
      <c r="J323" s="15" t="n">
        <v>1.5</v>
      </c>
      <c r="K323" s="15" t="n">
        <v>50</v>
      </c>
      <c r="L323" s="15" t="inlineStr">
        <is>
          <t>Under-represented</t>
        </is>
      </c>
      <c r="M323" s="15">
        <f>IFERROR((F323-E323)/E323*100,0)</f>
        <v/>
      </c>
      <c r="N323" s="14">
        <f>F323-I323</f>
        <v/>
      </c>
      <c r="O323" s="14" t="n"/>
    </row>
    <row r="324">
      <c r="A324" t="inlineStr">
        <is>
          <t>CON-323</t>
        </is>
      </c>
      <c r="B324" t="inlineStr">
        <is>
          <t>Kerala</t>
        </is>
      </c>
      <c r="C324" t="inlineStr">
        <is>
          <t>Kerala_Dist_323</t>
        </is>
      </c>
      <c r="D324" t="inlineStr">
        <is>
          <t>SC</t>
        </is>
      </c>
      <c r="E324" s="14" t="n">
        <v>2032</v>
      </c>
      <c r="F324" s="14" t="n">
        <v>2988</v>
      </c>
      <c r="G324" s="15" t="n">
        <v>54.3</v>
      </c>
      <c r="H324" t="n">
        <v>1</v>
      </c>
      <c r="I324" s="14" t="n">
        <v>2200</v>
      </c>
      <c r="J324" s="15" t="n">
        <v>1.36</v>
      </c>
      <c r="K324" s="15" t="n">
        <v>36</v>
      </c>
      <c r="L324" s="15" t="inlineStr">
        <is>
          <t>Under-represented</t>
        </is>
      </c>
      <c r="M324" s="15">
        <f>IFERROR((F324-E324)/E324*100,0)</f>
        <v/>
      </c>
      <c r="N324" s="14">
        <f>F324-I324</f>
        <v/>
      </c>
      <c r="O324" s="14" t="n"/>
    </row>
    <row r="325">
      <c r="A325" t="inlineStr">
        <is>
          <t>CON-324</t>
        </is>
      </c>
      <c r="B325" t="inlineStr">
        <is>
          <t>Andhra Pradesh</t>
        </is>
      </c>
      <c r="C325" t="inlineStr">
        <is>
          <t>Andhra_Dist_324</t>
        </is>
      </c>
      <c r="D325" t="inlineStr">
        <is>
          <t>General</t>
        </is>
      </c>
      <c r="E325" s="14" t="n">
        <v>3650</v>
      </c>
      <c r="F325" s="14" t="n">
        <v>5940</v>
      </c>
      <c r="G325" s="15" t="n">
        <v>80.68000000000001</v>
      </c>
      <c r="H325" t="n">
        <v>1</v>
      </c>
      <c r="I325" s="14" t="n">
        <v>2200</v>
      </c>
      <c r="J325" s="15" t="n">
        <v>2.7</v>
      </c>
      <c r="K325" s="15" t="n">
        <v>170</v>
      </c>
      <c r="L325" s="15" t="inlineStr">
        <is>
          <t>Under-represented</t>
        </is>
      </c>
      <c r="M325" s="15">
        <f>IFERROR((F325-E325)/E325*100,0)</f>
        <v/>
      </c>
      <c r="N325" s="14">
        <f>F325-I325</f>
        <v/>
      </c>
      <c r="O325" s="14" t="n"/>
    </row>
    <row r="326">
      <c r="A326" t="inlineStr">
        <is>
          <t>CON-325</t>
        </is>
      </c>
      <c r="B326" t="inlineStr">
        <is>
          <t>Maharashtra</t>
        </is>
      </c>
      <c r="C326" t="inlineStr">
        <is>
          <t>Maharashtra_Dist_325</t>
        </is>
      </c>
      <c r="D326" t="inlineStr">
        <is>
          <t>General</t>
        </is>
      </c>
      <c r="E326" s="14" t="n">
        <v>3372</v>
      </c>
      <c r="F326" s="14" t="n">
        <v>4668</v>
      </c>
      <c r="G326" s="15" t="n">
        <v>78.67</v>
      </c>
      <c r="H326" t="n">
        <v>1</v>
      </c>
      <c r="I326" s="14" t="n">
        <v>2200</v>
      </c>
      <c r="J326" s="15" t="n">
        <v>2.12</v>
      </c>
      <c r="K326" s="15" t="n">
        <v>112</v>
      </c>
      <c r="L326" s="15" t="inlineStr">
        <is>
          <t>Under-represented</t>
        </is>
      </c>
      <c r="M326" s="15">
        <f>IFERROR((F326-E326)/E326*100,0)</f>
        <v/>
      </c>
      <c r="N326" s="14">
        <f>F326-I326</f>
        <v/>
      </c>
      <c r="O326" s="14" t="n"/>
    </row>
    <row r="327">
      <c r="A327" t="inlineStr">
        <is>
          <t>CON-326</t>
        </is>
      </c>
      <c r="B327" t="inlineStr">
        <is>
          <t>Tamil Nadu</t>
        </is>
      </c>
      <c r="C327" t="inlineStr">
        <is>
          <t>Tamil_Dist_326</t>
        </is>
      </c>
      <c r="D327" t="inlineStr">
        <is>
          <t>General</t>
        </is>
      </c>
      <c r="E327" s="14" t="n">
        <v>3335</v>
      </c>
      <c r="F327" s="14" t="n">
        <v>4243</v>
      </c>
      <c r="G327" s="15" t="n">
        <v>54.09</v>
      </c>
      <c r="H327" t="n">
        <v>1</v>
      </c>
      <c r="I327" s="14" t="n">
        <v>2200</v>
      </c>
      <c r="J327" s="15" t="n">
        <v>1.93</v>
      </c>
      <c r="K327" s="15" t="n">
        <v>93</v>
      </c>
      <c r="L327" s="15" t="inlineStr">
        <is>
          <t>Under-represented</t>
        </is>
      </c>
      <c r="M327" s="15">
        <f>IFERROR((F327-E327)/E327*100,0)</f>
        <v/>
      </c>
      <c r="N327" s="14">
        <f>F327-I327</f>
        <v/>
      </c>
      <c r="O327" s="14" t="n"/>
    </row>
    <row r="328">
      <c r="A328" t="inlineStr">
        <is>
          <t>CON-327</t>
        </is>
      </c>
      <c r="B328" t="inlineStr">
        <is>
          <t>Bihar</t>
        </is>
      </c>
      <c r="C328" t="inlineStr">
        <is>
          <t>Bihar_Dist_327</t>
        </is>
      </c>
      <c r="D328" t="inlineStr">
        <is>
          <t>General</t>
        </is>
      </c>
      <c r="E328" s="14" t="n">
        <v>1777</v>
      </c>
      <c r="F328" s="14" t="n">
        <v>2487</v>
      </c>
      <c r="G328" s="15" t="n">
        <v>74.03</v>
      </c>
      <c r="H328" t="n">
        <v>1</v>
      </c>
      <c r="I328" s="14" t="n">
        <v>2200</v>
      </c>
      <c r="J328" s="15" t="n">
        <v>1.13</v>
      </c>
      <c r="K328" s="15" t="n">
        <v>13</v>
      </c>
      <c r="L328" s="15" t="inlineStr">
        <is>
          <t>Balanced</t>
        </is>
      </c>
      <c r="M328" s="15">
        <f>IFERROR((F328-E328)/E328*100,0)</f>
        <v/>
      </c>
      <c r="N328" s="14">
        <f>F328-I328</f>
        <v/>
      </c>
      <c r="O328" s="14" t="n"/>
    </row>
    <row r="329">
      <c r="A329" t="inlineStr">
        <is>
          <t>CON-328</t>
        </is>
      </c>
      <c r="B329" t="inlineStr">
        <is>
          <t>Tamil Nadu</t>
        </is>
      </c>
      <c r="C329" t="inlineStr">
        <is>
          <t>Tamil_Dist_328</t>
        </is>
      </c>
      <c r="D329" t="inlineStr">
        <is>
          <t>General</t>
        </is>
      </c>
      <c r="E329" s="14" t="n">
        <v>2354</v>
      </c>
      <c r="F329" s="14" t="n">
        <v>3498</v>
      </c>
      <c r="G329" s="15" t="n">
        <v>66.43000000000001</v>
      </c>
      <c r="H329" t="n">
        <v>1</v>
      </c>
      <c r="I329" s="14" t="n">
        <v>2200</v>
      </c>
      <c r="J329" s="15" t="n">
        <v>1.59</v>
      </c>
      <c r="K329" s="15" t="n">
        <v>59</v>
      </c>
      <c r="L329" s="15" t="inlineStr">
        <is>
          <t>Under-represented</t>
        </is>
      </c>
      <c r="M329" s="15">
        <f>IFERROR((F329-E329)/E329*100,0)</f>
        <v/>
      </c>
      <c r="N329" s="14">
        <f>F329-I329</f>
        <v/>
      </c>
      <c r="O329" s="14" t="n"/>
    </row>
    <row r="330">
      <c r="A330" t="inlineStr">
        <is>
          <t>CON-329</t>
        </is>
      </c>
      <c r="B330" t="inlineStr">
        <is>
          <t>Maharashtra</t>
        </is>
      </c>
      <c r="C330" t="inlineStr">
        <is>
          <t>Maharashtra_Dist_329</t>
        </is>
      </c>
      <c r="D330" t="inlineStr">
        <is>
          <t>General</t>
        </is>
      </c>
      <c r="E330" s="14" t="n">
        <v>1605</v>
      </c>
      <c r="F330" s="14" t="n">
        <v>2789</v>
      </c>
      <c r="G330" s="15" t="n">
        <v>53.27</v>
      </c>
      <c r="H330" t="n">
        <v>1</v>
      </c>
      <c r="I330" s="14" t="n">
        <v>2200</v>
      </c>
      <c r="J330" s="15" t="n">
        <v>1.27</v>
      </c>
      <c r="K330" s="15" t="n">
        <v>27</v>
      </c>
      <c r="L330" s="15" t="inlineStr">
        <is>
          <t>Under-represented</t>
        </is>
      </c>
      <c r="M330" s="15">
        <f>IFERROR((F330-E330)/E330*100,0)</f>
        <v/>
      </c>
      <c r="N330" s="14">
        <f>F330-I330</f>
        <v/>
      </c>
      <c r="O330" s="14" t="n"/>
    </row>
    <row r="331">
      <c r="A331" t="inlineStr">
        <is>
          <t>CON-330</t>
        </is>
      </c>
      <c r="B331" t="inlineStr">
        <is>
          <t>Karnataka</t>
        </is>
      </c>
      <c r="C331" t="inlineStr">
        <is>
          <t>Karnataka_Dist_330</t>
        </is>
      </c>
      <c r="D331" t="inlineStr">
        <is>
          <t>General</t>
        </is>
      </c>
      <c r="E331" s="14" t="n">
        <v>2291</v>
      </c>
      <c r="F331" s="14" t="n">
        <v>3301</v>
      </c>
      <c r="G331" s="15" t="n">
        <v>53.25</v>
      </c>
      <c r="H331" t="n">
        <v>1</v>
      </c>
      <c r="I331" s="14" t="n">
        <v>2200</v>
      </c>
      <c r="J331" s="15" t="n">
        <v>1.5</v>
      </c>
      <c r="K331" s="15" t="n">
        <v>50</v>
      </c>
      <c r="L331" s="15" t="inlineStr">
        <is>
          <t>Under-represented</t>
        </is>
      </c>
      <c r="M331" s="15">
        <f>IFERROR((F331-E331)/E331*100,0)</f>
        <v/>
      </c>
      <c r="N331" s="14">
        <f>F331-I331</f>
        <v/>
      </c>
      <c r="O331" s="14" t="n"/>
    </row>
    <row r="332">
      <c r="A332" t="inlineStr">
        <is>
          <t>CON-331</t>
        </is>
      </c>
      <c r="B332" t="inlineStr">
        <is>
          <t>Telangana</t>
        </is>
      </c>
      <c r="C332" t="inlineStr">
        <is>
          <t>Telangana_Dist_331</t>
        </is>
      </c>
      <c r="D332" t="inlineStr">
        <is>
          <t>General</t>
        </is>
      </c>
      <c r="E332" s="14" t="n">
        <v>3380</v>
      </c>
      <c r="F332" s="14" t="n">
        <v>4794</v>
      </c>
      <c r="G332" s="15" t="n">
        <v>71.43000000000001</v>
      </c>
      <c r="H332" t="n">
        <v>1</v>
      </c>
      <c r="I332" s="14" t="n">
        <v>2200</v>
      </c>
      <c r="J332" s="15" t="n">
        <v>2.18</v>
      </c>
      <c r="K332" s="15" t="n">
        <v>118</v>
      </c>
      <c r="L332" s="15" t="inlineStr">
        <is>
          <t>Under-represented</t>
        </is>
      </c>
      <c r="M332" s="15">
        <f>IFERROR((F332-E332)/E332*100,0)</f>
        <v/>
      </c>
      <c r="N332" s="14">
        <f>F332-I332</f>
        <v/>
      </c>
      <c r="O332" s="14" t="n"/>
    </row>
    <row r="333">
      <c r="A333" t="inlineStr">
        <is>
          <t>CON-332</t>
        </is>
      </c>
      <c r="B333" t="inlineStr">
        <is>
          <t>Andhra Pradesh</t>
        </is>
      </c>
      <c r="C333" t="inlineStr">
        <is>
          <t>Andhra_Dist_332</t>
        </is>
      </c>
      <c r="D333" t="inlineStr">
        <is>
          <t>General</t>
        </is>
      </c>
      <c r="E333" s="14" t="n">
        <v>2476</v>
      </c>
      <c r="F333" s="14" t="n">
        <v>3258</v>
      </c>
      <c r="G333" s="15" t="n">
        <v>52.97</v>
      </c>
      <c r="H333" t="n">
        <v>1</v>
      </c>
      <c r="I333" s="14" t="n">
        <v>2200</v>
      </c>
      <c r="J333" s="15" t="n">
        <v>1.48</v>
      </c>
      <c r="K333" s="15" t="n">
        <v>48</v>
      </c>
      <c r="L333" s="15" t="inlineStr">
        <is>
          <t>Under-represented</t>
        </is>
      </c>
      <c r="M333" s="15">
        <f>IFERROR((F333-E333)/E333*100,0)</f>
        <v/>
      </c>
      <c r="N333" s="14">
        <f>F333-I333</f>
        <v/>
      </c>
      <c r="O333" s="14" t="n"/>
    </row>
    <row r="334">
      <c r="A334" t="inlineStr">
        <is>
          <t>CON-333</t>
        </is>
      </c>
      <c r="B334" t="inlineStr">
        <is>
          <t>Uttar Pradesh</t>
        </is>
      </c>
      <c r="C334" t="inlineStr">
        <is>
          <t>Uttar_Dist_333</t>
        </is>
      </c>
      <c r="D334" t="inlineStr">
        <is>
          <t>General</t>
        </is>
      </c>
      <c r="E334" s="14" t="n">
        <v>1922</v>
      </c>
      <c r="F334" s="14" t="n">
        <v>2979</v>
      </c>
      <c r="G334" s="15" t="n">
        <v>54.88</v>
      </c>
      <c r="H334" t="n">
        <v>1</v>
      </c>
      <c r="I334" s="14" t="n">
        <v>2200</v>
      </c>
      <c r="J334" s="15" t="n">
        <v>1.35</v>
      </c>
      <c r="K334" s="15" t="n">
        <v>35</v>
      </c>
      <c r="L334" s="15" t="inlineStr">
        <is>
          <t>Under-represented</t>
        </is>
      </c>
      <c r="M334" s="15">
        <f>IFERROR((F334-E334)/E334*100,0)</f>
        <v/>
      </c>
      <c r="N334" s="14">
        <f>F334-I334</f>
        <v/>
      </c>
      <c r="O334" s="14" t="n"/>
    </row>
    <row r="335">
      <c r="A335" t="inlineStr">
        <is>
          <t>CON-334</t>
        </is>
      </c>
      <c r="B335" t="inlineStr">
        <is>
          <t>Maharashtra</t>
        </is>
      </c>
      <c r="C335" t="inlineStr">
        <is>
          <t>Maharashtra_Dist_334</t>
        </is>
      </c>
      <c r="D335" t="inlineStr">
        <is>
          <t>SC</t>
        </is>
      </c>
      <c r="E335" s="14" t="n">
        <v>1636</v>
      </c>
      <c r="F335" s="14" t="n">
        <v>2778</v>
      </c>
      <c r="G335" s="15" t="n">
        <v>76.01000000000001</v>
      </c>
      <c r="H335" t="n">
        <v>1</v>
      </c>
      <c r="I335" s="14" t="n">
        <v>2200</v>
      </c>
      <c r="J335" s="15" t="n">
        <v>1.26</v>
      </c>
      <c r="K335" s="15" t="n">
        <v>26</v>
      </c>
      <c r="L335" s="15" t="inlineStr">
        <is>
          <t>Under-represented</t>
        </is>
      </c>
      <c r="M335" s="15">
        <f>IFERROR((F335-E335)/E335*100,0)</f>
        <v/>
      </c>
      <c r="N335" s="14">
        <f>F335-I335</f>
        <v/>
      </c>
      <c r="O335" s="14" t="n"/>
    </row>
    <row r="336">
      <c r="A336" t="inlineStr">
        <is>
          <t>CON-335</t>
        </is>
      </c>
      <c r="B336" t="inlineStr">
        <is>
          <t>Gujarat</t>
        </is>
      </c>
      <c r="C336" t="inlineStr">
        <is>
          <t>Gujarat_Dist_335</t>
        </is>
      </c>
      <c r="D336" t="inlineStr">
        <is>
          <t>SC</t>
        </is>
      </c>
      <c r="E336" s="14" t="n">
        <v>2788</v>
      </c>
      <c r="F336" s="14" t="n">
        <v>3637</v>
      </c>
      <c r="G336" s="15" t="n">
        <v>81.34</v>
      </c>
      <c r="H336" t="n">
        <v>1</v>
      </c>
      <c r="I336" s="14" t="n">
        <v>2200</v>
      </c>
      <c r="J336" s="15" t="n">
        <v>1.65</v>
      </c>
      <c r="K336" s="15" t="n">
        <v>65</v>
      </c>
      <c r="L336" s="15" t="inlineStr">
        <is>
          <t>Under-represented</t>
        </is>
      </c>
      <c r="M336" s="15">
        <f>IFERROR((F336-E336)/E336*100,0)</f>
        <v/>
      </c>
      <c r="N336" s="14">
        <f>F336-I336</f>
        <v/>
      </c>
      <c r="O336" s="14" t="n"/>
    </row>
    <row r="337">
      <c r="A337" t="inlineStr">
        <is>
          <t>CON-336</t>
        </is>
      </c>
      <c r="B337" t="inlineStr">
        <is>
          <t>Tamil Nadu</t>
        </is>
      </c>
      <c r="C337" t="inlineStr">
        <is>
          <t>Tamil_Dist_336</t>
        </is>
      </c>
      <c r="D337" t="inlineStr">
        <is>
          <t>General</t>
        </is>
      </c>
      <c r="E337" s="14" t="n">
        <v>3044</v>
      </c>
      <c r="F337" s="14" t="n">
        <v>4112</v>
      </c>
      <c r="G337" s="15" t="n">
        <v>70.04000000000001</v>
      </c>
      <c r="H337" t="n">
        <v>1</v>
      </c>
      <c r="I337" s="14" t="n">
        <v>2200</v>
      </c>
      <c r="J337" s="15" t="n">
        <v>1.87</v>
      </c>
      <c r="K337" s="15" t="n">
        <v>87</v>
      </c>
      <c r="L337" s="15" t="inlineStr">
        <is>
          <t>Under-represented</t>
        </is>
      </c>
      <c r="M337" s="15">
        <f>IFERROR((F337-E337)/E337*100,0)</f>
        <v/>
      </c>
      <c r="N337" s="14">
        <f>F337-I337</f>
        <v/>
      </c>
      <c r="O337" s="14" t="n"/>
    </row>
    <row r="338">
      <c r="A338" t="inlineStr">
        <is>
          <t>CON-337</t>
        </is>
      </c>
      <c r="B338" t="inlineStr">
        <is>
          <t>Uttar Pradesh</t>
        </is>
      </c>
      <c r="C338" t="inlineStr">
        <is>
          <t>Uttar_Dist_337</t>
        </is>
      </c>
      <c r="D338" t="inlineStr">
        <is>
          <t>General</t>
        </is>
      </c>
      <c r="E338" s="14" t="n">
        <v>3470</v>
      </c>
      <c r="F338" s="14" t="n">
        <v>4986</v>
      </c>
      <c r="G338" s="15" t="n">
        <v>70.48999999999999</v>
      </c>
      <c r="H338" t="n">
        <v>1</v>
      </c>
      <c r="I338" s="14" t="n">
        <v>2200</v>
      </c>
      <c r="J338" s="15" t="n">
        <v>2.27</v>
      </c>
      <c r="K338" s="15" t="n">
        <v>127</v>
      </c>
      <c r="L338" s="15" t="inlineStr">
        <is>
          <t>Under-represented</t>
        </is>
      </c>
      <c r="M338" s="15">
        <f>IFERROR((F338-E338)/E338*100,0)</f>
        <v/>
      </c>
      <c r="N338" s="14">
        <f>F338-I338</f>
        <v/>
      </c>
      <c r="O338" s="14" t="n"/>
    </row>
    <row r="339">
      <c r="A339" t="inlineStr">
        <is>
          <t>CON-338</t>
        </is>
      </c>
      <c r="B339" t="inlineStr">
        <is>
          <t>Tamil Nadu</t>
        </is>
      </c>
      <c r="C339" t="inlineStr">
        <is>
          <t>Tamil_Dist_338</t>
        </is>
      </c>
      <c r="D339" t="inlineStr">
        <is>
          <t>General</t>
        </is>
      </c>
      <c r="E339" s="14" t="n">
        <v>3736</v>
      </c>
      <c r="F339" s="14" t="n">
        <v>4848</v>
      </c>
      <c r="G339" s="15" t="n">
        <v>81.14</v>
      </c>
      <c r="H339" t="n">
        <v>1</v>
      </c>
      <c r="I339" s="14" t="n">
        <v>2200</v>
      </c>
      <c r="J339" s="15" t="n">
        <v>2.2</v>
      </c>
      <c r="K339" s="15" t="n">
        <v>120</v>
      </c>
      <c r="L339" s="15" t="inlineStr">
        <is>
          <t>Under-represented</t>
        </is>
      </c>
      <c r="M339" s="15">
        <f>IFERROR((F339-E339)/E339*100,0)</f>
        <v/>
      </c>
      <c r="N339" s="14">
        <f>F339-I339</f>
        <v/>
      </c>
      <c r="O339" s="14" t="n"/>
    </row>
    <row r="340">
      <c r="A340" t="inlineStr">
        <is>
          <t>CON-339</t>
        </is>
      </c>
      <c r="B340" t="inlineStr">
        <is>
          <t>Uttar Pradesh</t>
        </is>
      </c>
      <c r="C340" t="inlineStr">
        <is>
          <t>Uttar_Dist_339</t>
        </is>
      </c>
      <c r="D340" t="inlineStr">
        <is>
          <t>General</t>
        </is>
      </c>
      <c r="E340" s="14" t="n">
        <v>3653</v>
      </c>
      <c r="F340" s="14" t="n">
        <v>6154</v>
      </c>
      <c r="G340" s="15" t="n">
        <v>57.1</v>
      </c>
      <c r="H340" t="n">
        <v>1</v>
      </c>
      <c r="I340" s="14" t="n">
        <v>2200</v>
      </c>
      <c r="J340" s="15" t="n">
        <v>2.8</v>
      </c>
      <c r="K340" s="15" t="n">
        <v>180</v>
      </c>
      <c r="L340" s="15" t="inlineStr">
        <is>
          <t>Under-represented</t>
        </is>
      </c>
      <c r="M340" s="15">
        <f>IFERROR((F340-E340)/E340*100,0)</f>
        <v/>
      </c>
      <c r="N340" s="14">
        <f>F340-I340</f>
        <v/>
      </c>
      <c r="O340" s="14" t="n"/>
    </row>
    <row r="341">
      <c r="A341" t="inlineStr">
        <is>
          <t>CON-340</t>
        </is>
      </c>
      <c r="B341" t="inlineStr">
        <is>
          <t>Gujarat</t>
        </is>
      </c>
      <c r="C341" t="inlineStr">
        <is>
          <t>Gujarat_Dist_340</t>
        </is>
      </c>
      <c r="D341" t="inlineStr">
        <is>
          <t>General</t>
        </is>
      </c>
      <c r="E341" s="14" t="n">
        <v>2329</v>
      </c>
      <c r="F341" s="14" t="n">
        <v>3886</v>
      </c>
      <c r="G341" s="15" t="n">
        <v>75.90000000000001</v>
      </c>
      <c r="H341" t="n">
        <v>1</v>
      </c>
      <c r="I341" s="14" t="n">
        <v>2200</v>
      </c>
      <c r="J341" s="15" t="n">
        <v>1.77</v>
      </c>
      <c r="K341" s="15" t="n">
        <v>77</v>
      </c>
      <c r="L341" s="15" t="inlineStr">
        <is>
          <t>Under-represented</t>
        </is>
      </c>
      <c r="M341" s="15">
        <f>IFERROR((F341-E341)/E341*100,0)</f>
        <v/>
      </c>
      <c r="N341" s="14">
        <f>F341-I341</f>
        <v/>
      </c>
      <c r="O341" s="14" t="n"/>
    </row>
    <row r="342">
      <c r="A342" t="inlineStr">
        <is>
          <t>CON-341</t>
        </is>
      </c>
      <c r="B342" t="inlineStr">
        <is>
          <t>Uttar Pradesh</t>
        </is>
      </c>
      <c r="C342" t="inlineStr">
        <is>
          <t>Uttar_Dist_341</t>
        </is>
      </c>
      <c r="D342" t="inlineStr">
        <is>
          <t>General</t>
        </is>
      </c>
      <c r="E342" s="14" t="n">
        <v>1368</v>
      </c>
      <c r="F342" s="14" t="n">
        <v>1722</v>
      </c>
      <c r="G342" s="15" t="n">
        <v>58.47</v>
      </c>
      <c r="H342" t="n">
        <v>1</v>
      </c>
      <c r="I342" s="14" t="n">
        <v>2200</v>
      </c>
      <c r="J342" s="15" t="n">
        <v>0.78</v>
      </c>
      <c r="K342" s="15" t="n">
        <v>22</v>
      </c>
      <c r="L342" s="15" t="inlineStr">
        <is>
          <t>Over-represented</t>
        </is>
      </c>
      <c r="M342" s="15">
        <f>IFERROR((F342-E342)/E342*100,0)</f>
        <v/>
      </c>
      <c r="N342" s="14">
        <f>F342-I342</f>
        <v/>
      </c>
      <c r="O342" s="14" t="n"/>
    </row>
    <row r="343">
      <c r="A343" t="inlineStr">
        <is>
          <t>CON-342</t>
        </is>
      </c>
      <c r="B343" t="inlineStr">
        <is>
          <t>Bihar</t>
        </is>
      </c>
      <c r="C343" t="inlineStr">
        <is>
          <t>Bihar_Dist_342</t>
        </is>
      </c>
      <c r="D343" t="inlineStr">
        <is>
          <t>General</t>
        </is>
      </c>
      <c r="E343" s="14" t="n">
        <v>2268</v>
      </c>
      <c r="F343" s="14" t="n">
        <v>3266</v>
      </c>
      <c r="G343" s="15" t="n">
        <v>77.26000000000001</v>
      </c>
      <c r="H343" t="n">
        <v>1</v>
      </c>
      <c r="I343" s="14" t="n">
        <v>2200</v>
      </c>
      <c r="J343" s="15" t="n">
        <v>1.48</v>
      </c>
      <c r="K343" s="15" t="n">
        <v>48</v>
      </c>
      <c r="L343" s="15" t="inlineStr">
        <is>
          <t>Under-represented</t>
        </is>
      </c>
      <c r="M343" s="15">
        <f>IFERROR((F343-E343)/E343*100,0)</f>
        <v/>
      </c>
      <c r="N343" s="14">
        <f>F343-I343</f>
        <v/>
      </c>
      <c r="O343" s="14" t="n"/>
    </row>
    <row r="344">
      <c r="A344" t="inlineStr">
        <is>
          <t>CON-343</t>
        </is>
      </c>
      <c r="B344" t="inlineStr">
        <is>
          <t>Andhra Pradesh</t>
        </is>
      </c>
      <c r="C344" t="inlineStr">
        <is>
          <t>Andhra_Dist_343</t>
        </is>
      </c>
      <c r="D344" t="inlineStr">
        <is>
          <t>General</t>
        </is>
      </c>
      <c r="E344" s="14" t="n">
        <v>2173</v>
      </c>
      <c r="F344" s="14" t="n">
        <v>3151</v>
      </c>
      <c r="G344" s="15" t="n">
        <v>56.62</v>
      </c>
      <c r="H344" t="n">
        <v>1</v>
      </c>
      <c r="I344" s="14" t="n">
        <v>2200</v>
      </c>
      <c r="J344" s="15" t="n">
        <v>1.43</v>
      </c>
      <c r="K344" s="15" t="n">
        <v>43</v>
      </c>
      <c r="L344" s="15" t="inlineStr">
        <is>
          <t>Under-represented</t>
        </is>
      </c>
      <c r="M344" s="15">
        <f>IFERROR((F344-E344)/E344*100,0)</f>
        <v/>
      </c>
      <c r="N344" s="14">
        <f>F344-I344</f>
        <v/>
      </c>
      <c r="O344" s="14" t="n"/>
    </row>
    <row r="345">
      <c r="A345" t="inlineStr">
        <is>
          <t>CON-344</t>
        </is>
      </c>
      <c r="B345" t="inlineStr">
        <is>
          <t>Karnataka</t>
        </is>
      </c>
      <c r="C345" t="inlineStr">
        <is>
          <t>Karnataka_Dist_344</t>
        </is>
      </c>
      <c r="D345" t="inlineStr">
        <is>
          <t>General</t>
        </is>
      </c>
      <c r="E345" s="14" t="n">
        <v>2825</v>
      </c>
      <c r="F345" s="14" t="n">
        <v>4690</v>
      </c>
      <c r="G345" s="15" t="n">
        <v>73.22</v>
      </c>
      <c r="H345" t="n">
        <v>1</v>
      </c>
      <c r="I345" s="14" t="n">
        <v>2200</v>
      </c>
      <c r="J345" s="15" t="n">
        <v>2.13</v>
      </c>
      <c r="K345" s="15" t="n">
        <v>113</v>
      </c>
      <c r="L345" s="15" t="inlineStr">
        <is>
          <t>Under-represented</t>
        </is>
      </c>
      <c r="M345" s="15">
        <f>IFERROR((F345-E345)/E345*100,0)</f>
        <v/>
      </c>
      <c r="N345" s="14">
        <f>F345-I345</f>
        <v/>
      </c>
      <c r="O345" s="14" t="n"/>
    </row>
    <row r="346">
      <c r="A346" t="inlineStr">
        <is>
          <t>CON-345</t>
        </is>
      </c>
      <c r="B346" t="inlineStr">
        <is>
          <t>Andhra Pradesh</t>
        </is>
      </c>
      <c r="C346" t="inlineStr">
        <is>
          <t>Andhra_Dist_345</t>
        </is>
      </c>
      <c r="D346" t="inlineStr">
        <is>
          <t>ST</t>
        </is>
      </c>
      <c r="E346" s="14" t="n">
        <v>2717</v>
      </c>
      <c r="F346" s="14" t="n">
        <v>4174</v>
      </c>
      <c r="G346" s="15" t="n">
        <v>57.24</v>
      </c>
      <c r="H346" t="n">
        <v>1</v>
      </c>
      <c r="I346" s="14" t="n">
        <v>2200</v>
      </c>
      <c r="J346" s="15" t="n">
        <v>1.9</v>
      </c>
      <c r="K346" s="15" t="n">
        <v>90</v>
      </c>
      <c r="L346" s="15" t="inlineStr">
        <is>
          <t>Under-represented</t>
        </is>
      </c>
      <c r="M346" s="15">
        <f>IFERROR((F346-E346)/E346*100,0)</f>
        <v/>
      </c>
      <c r="N346" s="14">
        <f>F346-I346</f>
        <v/>
      </c>
      <c r="O346" s="14" t="n"/>
    </row>
    <row r="347">
      <c r="A347" t="inlineStr">
        <is>
          <t>CON-346</t>
        </is>
      </c>
      <c r="B347" t="inlineStr">
        <is>
          <t>Uttar Pradesh</t>
        </is>
      </c>
      <c r="C347" t="inlineStr">
        <is>
          <t>Uttar_Dist_346</t>
        </is>
      </c>
      <c r="D347" t="inlineStr">
        <is>
          <t>General</t>
        </is>
      </c>
      <c r="E347" s="14" t="n">
        <v>3521</v>
      </c>
      <c r="F347" s="14" t="n">
        <v>4607</v>
      </c>
      <c r="G347" s="15" t="n">
        <v>62.01</v>
      </c>
      <c r="H347" t="n">
        <v>1</v>
      </c>
      <c r="I347" s="14" t="n">
        <v>2200</v>
      </c>
      <c r="J347" s="15" t="n">
        <v>2.09</v>
      </c>
      <c r="K347" s="15" t="n">
        <v>109</v>
      </c>
      <c r="L347" s="15" t="inlineStr">
        <is>
          <t>Under-represented</t>
        </is>
      </c>
      <c r="M347" s="15">
        <f>IFERROR((F347-E347)/E347*100,0)</f>
        <v/>
      </c>
      <c r="N347" s="14">
        <f>F347-I347</f>
        <v/>
      </c>
      <c r="O347" s="14" t="n"/>
    </row>
    <row r="348">
      <c r="A348" t="inlineStr">
        <is>
          <t>CON-347</t>
        </is>
      </c>
      <c r="B348" t="inlineStr">
        <is>
          <t>Maharashtra</t>
        </is>
      </c>
      <c r="C348" t="inlineStr">
        <is>
          <t>Maharashtra_Dist_347</t>
        </is>
      </c>
      <c r="D348" t="inlineStr">
        <is>
          <t>ST</t>
        </is>
      </c>
      <c r="E348" s="14" t="n">
        <v>2155</v>
      </c>
      <c r="F348" s="14" t="n">
        <v>2903</v>
      </c>
      <c r="G348" s="15" t="n">
        <v>81.39</v>
      </c>
      <c r="H348" t="n">
        <v>1</v>
      </c>
      <c r="I348" s="14" t="n">
        <v>2200</v>
      </c>
      <c r="J348" s="15" t="n">
        <v>1.32</v>
      </c>
      <c r="K348" s="15" t="n">
        <v>32</v>
      </c>
      <c r="L348" s="15" t="inlineStr">
        <is>
          <t>Under-represented</t>
        </is>
      </c>
      <c r="M348" s="15">
        <f>IFERROR((F348-E348)/E348*100,0)</f>
        <v/>
      </c>
      <c r="N348" s="14">
        <f>F348-I348</f>
        <v/>
      </c>
      <c r="O348" s="14" t="n"/>
    </row>
    <row r="349">
      <c r="A349" t="inlineStr">
        <is>
          <t>CON-348</t>
        </is>
      </c>
      <c r="B349" t="inlineStr">
        <is>
          <t>Maharashtra</t>
        </is>
      </c>
      <c r="C349" t="inlineStr">
        <is>
          <t>Maharashtra_Dist_348</t>
        </is>
      </c>
      <c r="D349" t="inlineStr">
        <is>
          <t>General</t>
        </is>
      </c>
      <c r="E349" s="14" t="n">
        <v>1761</v>
      </c>
      <c r="F349" s="14" t="n">
        <v>2560</v>
      </c>
      <c r="G349" s="15" t="n">
        <v>71.16</v>
      </c>
      <c r="H349" t="n">
        <v>1</v>
      </c>
      <c r="I349" s="14" t="n">
        <v>2200</v>
      </c>
      <c r="J349" s="15" t="n">
        <v>1.16</v>
      </c>
      <c r="K349" s="15" t="n">
        <v>16</v>
      </c>
      <c r="L349" s="15" t="inlineStr">
        <is>
          <t>Balanced</t>
        </is>
      </c>
      <c r="M349" s="15">
        <f>IFERROR((F349-E349)/E349*100,0)</f>
        <v/>
      </c>
      <c r="N349" s="14">
        <f>F349-I349</f>
        <v/>
      </c>
      <c r="O349" s="14" t="n"/>
    </row>
    <row r="350">
      <c r="A350" t="inlineStr">
        <is>
          <t>CON-349</t>
        </is>
      </c>
      <c r="B350" t="inlineStr">
        <is>
          <t>Maharashtra</t>
        </is>
      </c>
      <c r="C350" t="inlineStr">
        <is>
          <t>Maharashtra_Dist_349</t>
        </is>
      </c>
      <c r="D350" t="inlineStr">
        <is>
          <t>General</t>
        </is>
      </c>
      <c r="E350" s="14" t="n">
        <v>1691</v>
      </c>
      <c r="F350" s="14" t="n">
        <v>2286</v>
      </c>
      <c r="G350" s="15" t="n">
        <v>80.41</v>
      </c>
      <c r="H350" t="n">
        <v>1</v>
      </c>
      <c r="I350" s="14" t="n">
        <v>2200</v>
      </c>
      <c r="J350" s="15" t="n">
        <v>1.04</v>
      </c>
      <c r="K350" s="15" t="n">
        <v>4</v>
      </c>
      <c r="L350" s="15" t="inlineStr">
        <is>
          <t>Balanced</t>
        </is>
      </c>
      <c r="M350" s="15">
        <f>IFERROR((F350-E350)/E350*100,0)</f>
        <v/>
      </c>
      <c r="N350" s="14">
        <f>F350-I350</f>
        <v/>
      </c>
      <c r="O350" s="14" t="n"/>
    </row>
    <row r="351">
      <c r="A351" t="inlineStr">
        <is>
          <t>CON-350</t>
        </is>
      </c>
      <c r="B351" t="inlineStr">
        <is>
          <t>Maharashtra</t>
        </is>
      </c>
      <c r="C351" t="inlineStr">
        <is>
          <t>Maharashtra_Dist_350</t>
        </is>
      </c>
      <c r="D351" t="inlineStr">
        <is>
          <t>SC</t>
        </is>
      </c>
      <c r="E351" s="14" t="n">
        <v>2707</v>
      </c>
      <c r="F351" s="14" t="n">
        <v>3807</v>
      </c>
      <c r="G351" s="15" t="n">
        <v>77.73999999999999</v>
      </c>
      <c r="H351" t="n">
        <v>1</v>
      </c>
      <c r="I351" s="14" t="n">
        <v>2200</v>
      </c>
      <c r="J351" s="15" t="n">
        <v>1.73</v>
      </c>
      <c r="K351" s="15" t="n">
        <v>73</v>
      </c>
      <c r="L351" s="15" t="inlineStr">
        <is>
          <t>Under-represented</t>
        </is>
      </c>
      <c r="M351" s="15">
        <f>IFERROR((F351-E351)/E351*100,0)</f>
        <v/>
      </c>
      <c r="N351" s="14">
        <f>F351-I351</f>
        <v/>
      </c>
      <c r="O351" s="14" t="n"/>
    </row>
    <row r="352">
      <c r="A352" t="inlineStr">
        <is>
          <t>CON-351</t>
        </is>
      </c>
      <c r="B352" t="inlineStr">
        <is>
          <t>Kerala</t>
        </is>
      </c>
      <c r="C352" t="inlineStr">
        <is>
          <t>Kerala_Dist_351</t>
        </is>
      </c>
      <c r="D352" t="inlineStr">
        <is>
          <t>General</t>
        </is>
      </c>
      <c r="E352" s="14" t="n">
        <v>1726</v>
      </c>
      <c r="F352" s="14" t="n">
        <v>2802</v>
      </c>
      <c r="G352" s="15" t="n">
        <v>69.09999999999999</v>
      </c>
      <c r="H352" t="n">
        <v>1</v>
      </c>
      <c r="I352" s="14" t="n">
        <v>2200</v>
      </c>
      <c r="J352" s="15" t="n">
        <v>1.27</v>
      </c>
      <c r="K352" s="15" t="n">
        <v>27</v>
      </c>
      <c r="L352" s="15" t="inlineStr">
        <is>
          <t>Under-represented</t>
        </is>
      </c>
      <c r="M352" s="15">
        <f>IFERROR((F352-E352)/E352*100,0)</f>
        <v/>
      </c>
      <c r="N352" s="14">
        <f>F352-I352</f>
        <v/>
      </c>
      <c r="O352" s="14" t="n"/>
    </row>
    <row r="353">
      <c r="A353" t="inlineStr">
        <is>
          <t>CON-352</t>
        </is>
      </c>
      <c r="B353" t="inlineStr">
        <is>
          <t>Tamil Nadu</t>
        </is>
      </c>
      <c r="C353" t="inlineStr">
        <is>
          <t>Tamil_Dist_352</t>
        </is>
      </c>
      <c r="D353" t="inlineStr">
        <is>
          <t>General</t>
        </is>
      </c>
      <c r="E353" s="14" t="n">
        <v>1885</v>
      </c>
      <c r="F353" s="14" t="n">
        <v>2518</v>
      </c>
      <c r="G353" s="15" t="n">
        <v>64.58</v>
      </c>
      <c r="H353" t="n">
        <v>1</v>
      </c>
      <c r="I353" s="14" t="n">
        <v>2200</v>
      </c>
      <c r="J353" s="15" t="n">
        <v>1.14</v>
      </c>
      <c r="K353" s="15" t="n">
        <v>14</v>
      </c>
      <c r="L353" s="15" t="inlineStr">
        <is>
          <t>Balanced</t>
        </is>
      </c>
      <c r="M353" s="15">
        <f>IFERROR((F353-E353)/E353*100,0)</f>
        <v/>
      </c>
      <c r="N353" s="14">
        <f>F353-I353</f>
        <v/>
      </c>
      <c r="O353" s="14" t="n"/>
    </row>
    <row r="354">
      <c r="A354" t="inlineStr">
        <is>
          <t>CON-353</t>
        </is>
      </c>
      <c r="B354" t="inlineStr">
        <is>
          <t>Maharashtra</t>
        </is>
      </c>
      <c r="C354" t="inlineStr">
        <is>
          <t>Maharashtra_Dist_353</t>
        </is>
      </c>
      <c r="D354" t="inlineStr">
        <is>
          <t>General</t>
        </is>
      </c>
      <c r="E354" s="14" t="n">
        <v>3644</v>
      </c>
      <c r="F354" s="14" t="n">
        <v>6054</v>
      </c>
      <c r="G354" s="15" t="n">
        <v>64.14</v>
      </c>
      <c r="H354" t="n">
        <v>1</v>
      </c>
      <c r="I354" s="14" t="n">
        <v>2200</v>
      </c>
      <c r="J354" s="15" t="n">
        <v>2.75</v>
      </c>
      <c r="K354" s="15" t="n">
        <v>175</v>
      </c>
      <c r="L354" s="15" t="inlineStr">
        <is>
          <t>Under-represented</t>
        </is>
      </c>
      <c r="M354" s="15">
        <f>IFERROR((F354-E354)/E354*100,0)</f>
        <v/>
      </c>
      <c r="N354" s="14">
        <f>F354-I354</f>
        <v/>
      </c>
      <c r="O354" s="14" t="n"/>
    </row>
    <row r="355">
      <c r="A355" t="inlineStr">
        <is>
          <t>CON-354</t>
        </is>
      </c>
      <c r="B355" t="inlineStr">
        <is>
          <t>Uttar Pradesh</t>
        </is>
      </c>
      <c r="C355" t="inlineStr">
        <is>
          <t>Uttar_Dist_354</t>
        </is>
      </c>
      <c r="D355" t="inlineStr">
        <is>
          <t>General</t>
        </is>
      </c>
      <c r="E355" s="14" t="n">
        <v>3017</v>
      </c>
      <c r="F355" s="14" t="n">
        <v>4728</v>
      </c>
      <c r="G355" s="15" t="n">
        <v>81.19</v>
      </c>
      <c r="H355" t="n">
        <v>1</v>
      </c>
      <c r="I355" s="14" t="n">
        <v>2200</v>
      </c>
      <c r="J355" s="15" t="n">
        <v>2.15</v>
      </c>
      <c r="K355" s="15" t="n">
        <v>115</v>
      </c>
      <c r="L355" s="15" t="inlineStr">
        <is>
          <t>Under-represented</t>
        </is>
      </c>
      <c r="M355" s="15">
        <f>IFERROR((F355-E355)/E355*100,0)</f>
        <v/>
      </c>
      <c r="N355" s="14">
        <f>F355-I355</f>
        <v/>
      </c>
      <c r="O355" s="14" t="n"/>
    </row>
    <row r="356">
      <c r="A356" t="inlineStr">
        <is>
          <t>CON-355</t>
        </is>
      </c>
      <c r="B356" t="inlineStr">
        <is>
          <t>Uttar Pradesh</t>
        </is>
      </c>
      <c r="C356" t="inlineStr">
        <is>
          <t>Uttar_Dist_355</t>
        </is>
      </c>
      <c r="D356" t="inlineStr">
        <is>
          <t>SC</t>
        </is>
      </c>
      <c r="E356" s="14" t="n">
        <v>1618</v>
      </c>
      <c r="F356" s="14" t="n">
        <v>2216</v>
      </c>
      <c r="G356" s="15" t="n">
        <v>67.63</v>
      </c>
      <c r="H356" t="n">
        <v>1</v>
      </c>
      <c r="I356" s="14" t="n">
        <v>2200</v>
      </c>
      <c r="J356" s="15" t="n">
        <v>1.01</v>
      </c>
      <c r="K356" s="15" t="n">
        <v>1</v>
      </c>
      <c r="L356" s="15" t="inlineStr">
        <is>
          <t>Balanced</t>
        </is>
      </c>
      <c r="M356" s="15">
        <f>IFERROR((F356-E356)/E356*100,0)</f>
        <v/>
      </c>
      <c r="N356" s="14">
        <f>F356-I356</f>
        <v/>
      </c>
      <c r="O356" s="14" t="n"/>
    </row>
    <row r="357">
      <c r="A357" t="inlineStr">
        <is>
          <t>CON-356</t>
        </is>
      </c>
      <c r="B357" t="inlineStr">
        <is>
          <t>Tamil Nadu</t>
        </is>
      </c>
      <c r="C357" t="inlineStr">
        <is>
          <t>Tamil_Dist_356</t>
        </is>
      </c>
      <c r="D357" t="inlineStr">
        <is>
          <t>General</t>
        </is>
      </c>
      <c r="E357" s="14" t="n">
        <v>1235</v>
      </c>
      <c r="F357" s="14" t="n">
        <v>1578</v>
      </c>
      <c r="G357" s="15" t="n">
        <v>75.08</v>
      </c>
      <c r="H357" t="n">
        <v>1</v>
      </c>
      <c r="I357" s="14" t="n">
        <v>2200</v>
      </c>
      <c r="J357" s="15" t="n">
        <v>0.72</v>
      </c>
      <c r="K357" s="15" t="n">
        <v>28</v>
      </c>
      <c r="L357" s="15" t="inlineStr">
        <is>
          <t>Over-represented</t>
        </is>
      </c>
      <c r="M357" s="15">
        <f>IFERROR((F357-E357)/E357*100,0)</f>
        <v/>
      </c>
      <c r="N357" s="14">
        <f>F357-I357</f>
        <v/>
      </c>
      <c r="O357" s="14" t="n"/>
    </row>
    <row r="358">
      <c r="A358" t="inlineStr">
        <is>
          <t>CON-357</t>
        </is>
      </c>
      <c r="B358" t="inlineStr">
        <is>
          <t>Karnataka</t>
        </is>
      </c>
      <c r="C358" t="inlineStr">
        <is>
          <t>Karnataka_Dist_357</t>
        </is>
      </c>
      <c r="D358" t="inlineStr">
        <is>
          <t>General</t>
        </is>
      </c>
      <c r="E358" s="14" t="n">
        <v>1361</v>
      </c>
      <c r="F358" s="14" t="n">
        <v>2245</v>
      </c>
      <c r="G358" s="15" t="n">
        <v>83.20999999999999</v>
      </c>
      <c r="H358" t="n">
        <v>1</v>
      </c>
      <c r="I358" s="14" t="n">
        <v>2200</v>
      </c>
      <c r="J358" s="15" t="n">
        <v>1.02</v>
      </c>
      <c r="K358" s="15" t="n">
        <v>2</v>
      </c>
      <c r="L358" s="15" t="inlineStr">
        <is>
          <t>Balanced</t>
        </is>
      </c>
      <c r="M358" s="15">
        <f>IFERROR((F358-E358)/E358*100,0)</f>
        <v/>
      </c>
      <c r="N358" s="14">
        <f>F358-I358</f>
        <v/>
      </c>
      <c r="O358" s="14" t="n"/>
    </row>
    <row r="359">
      <c r="A359" t="inlineStr">
        <is>
          <t>CON-358</t>
        </is>
      </c>
      <c r="B359" t="inlineStr">
        <is>
          <t>Andhra Pradesh</t>
        </is>
      </c>
      <c r="C359" t="inlineStr">
        <is>
          <t>Andhra_Dist_358</t>
        </is>
      </c>
      <c r="D359" t="inlineStr">
        <is>
          <t>General</t>
        </is>
      </c>
      <c r="E359" s="14" t="n">
        <v>2951</v>
      </c>
      <c r="F359" s="14" t="n">
        <v>4753</v>
      </c>
      <c r="G359" s="15" t="n">
        <v>61.96</v>
      </c>
      <c r="H359" t="n">
        <v>1</v>
      </c>
      <c r="I359" s="14" t="n">
        <v>2200</v>
      </c>
      <c r="J359" s="15" t="n">
        <v>2.16</v>
      </c>
      <c r="K359" s="15" t="n">
        <v>116</v>
      </c>
      <c r="L359" s="15" t="inlineStr">
        <is>
          <t>Under-represented</t>
        </is>
      </c>
      <c r="M359" s="15">
        <f>IFERROR((F359-E359)/E359*100,0)</f>
        <v/>
      </c>
      <c r="N359" s="14">
        <f>F359-I359</f>
        <v/>
      </c>
      <c r="O359" s="14" t="n"/>
    </row>
    <row r="360">
      <c r="A360" t="inlineStr">
        <is>
          <t>CON-359</t>
        </is>
      </c>
      <c r="B360" t="inlineStr">
        <is>
          <t>Uttar Pradesh</t>
        </is>
      </c>
      <c r="C360" t="inlineStr">
        <is>
          <t>Uttar_Dist_359</t>
        </is>
      </c>
      <c r="D360" t="inlineStr">
        <is>
          <t>General</t>
        </is>
      </c>
      <c r="E360" s="14" t="n">
        <v>3754</v>
      </c>
      <c r="F360" s="14" t="n">
        <v>6419</v>
      </c>
      <c r="G360" s="15" t="n">
        <v>79.16</v>
      </c>
      <c r="H360" t="n">
        <v>1</v>
      </c>
      <c r="I360" s="14" t="n">
        <v>2200</v>
      </c>
      <c r="J360" s="15" t="n">
        <v>2.92</v>
      </c>
      <c r="K360" s="15" t="n">
        <v>192</v>
      </c>
      <c r="L360" s="15" t="inlineStr">
        <is>
          <t>Under-represented</t>
        </is>
      </c>
      <c r="M360" s="15">
        <f>IFERROR((F360-E360)/E360*100,0)</f>
        <v/>
      </c>
      <c r="N360" s="14">
        <f>F360-I360</f>
        <v/>
      </c>
      <c r="O360" s="14" t="n"/>
    </row>
    <row r="361">
      <c r="A361" t="inlineStr">
        <is>
          <t>CON-360</t>
        </is>
      </c>
      <c r="B361" t="inlineStr">
        <is>
          <t>Telangana</t>
        </is>
      </c>
      <c r="C361" t="inlineStr">
        <is>
          <t>Telangana_Dist_360</t>
        </is>
      </c>
      <c r="D361" t="inlineStr">
        <is>
          <t>SC</t>
        </is>
      </c>
      <c r="E361" s="14" t="n">
        <v>3299</v>
      </c>
      <c r="F361" s="14" t="n">
        <v>4779</v>
      </c>
      <c r="G361" s="15" t="n">
        <v>62.32</v>
      </c>
      <c r="H361" t="n">
        <v>1</v>
      </c>
      <c r="I361" s="14" t="n">
        <v>2200</v>
      </c>
      <c r="J361" s="15" t="n">
        <v>2.17</v>
      </c>
      <c r="K361" s="15" t="n">
        <v>117</v>
      </c>
      <c r="L361" s="15" t="inlineStr">
        <is>
          <t>Under-represented</t>
        </is>
      </c>
      <c r="M361" s="15">
        <f>IFERROR((F361-E361)/E361*100,0)</f>
        <v/>
      </c>
      <c r="N361" s="14">
        <f>F361-I361</f>
        <v/>
      </c>
      <c r="O361" s="14" t="n"/>
    </row>
    <row r="362">
      <c r="A362" t="inlineStr">
        <is>
          <t>CON-361</t>
        </is>
      </c>
      <c r="B362" t="inlineStr">
        <is>
          <t>Gujarat</t>
        </is>
      </c>
      <c r="C362" t="inlineStr">
        <is>
          <t>Gujarat_Dist_361</t>
        </is>
      </c>
      <c r="D362" t="inlineStr">
        <is>
          <t>General</t>
        </is>
      </c>
      <c r="E362" s="14" t="n">
        <v>1368</v>
      </c>
      <c r="F362" s="14" t="n">
        <v>1894</v>
      </c>
      <c r="G362" s="15" t="n">
        <v>53.52</v>
      </c>
      <c r="H362" t="n">
        <v>1</v>
      </c>
      <c r="I362" s="14" t="n">
        <v>2200</v>
      </c>
      <c r="J362" s="15" t="n">
        <v>0.86</v>
      </c>
      <c r="K362" s="15" t="n">
        <v>14</v>
      </c>
      <c r="L362" s="15" t="inlineStr">
        <is>
          <t>Balanced</t>
        </is>
      </c>
      <c r="M362" s="15">
        <f>IFERROR((F362-E362)/E362*100,0)</f>
        <v/>
      </c>
      <c r="N362" s="14">
        <f>F362-I362</f>
        <v/>
      </c>
      <c r="O362" s="14" t="n"/>
    </row>
    <row r="363">
      <c r="A363" t="inlineStr">
        <is>
          <t>CON-362</t>
        </is>
      </c>
      <c r="B363" t="inlineStr">
        <is>
          <t>Tamil Nadu</t>
        </is>
      </c>
      <c r="C363" t="inlineStr">
        <is>
          <t>Tamil_Dist_362</t>
        </is>
      </c>
      <c r="D363" t="inlineStr">
        <is>
          <t>ST</t>
        </is>
      </c>
      <c r="E363" s="14" t="n">
        <v>3579</v>
      </c>
      <c r="F363" s="14" t="n">
        <v>5153</v>
      </c>
      <c r="G363" s="15" t="n">
        <v>75.48</v>
      </c>
      <c r="H363" t="n">
        <v>1</v>
      </c>
      <c r="I363" s="14" t="n">
        <v>2200</v>
      </c>
      <c r="J363" s="15" t="n">
        <v>2.34</v>
      </c>
      <c r="K363" s="15" t="n">
        <v>134</v>
      </c>
      <c r="L363" s="15" t="inlineStr">
        <is>
          <t>Under-represented</t>
        </is>
      </c>
      <c r="M363" s="15">
        <f>IFERROR((F363-E363)/E363*100,0)</f>
        <v/>
      </c>
      <c r="N363" s="14">
        <f>F363-I363</f>
        <v/>
      </c>
      <c r="O363" s="14" t="n"/>
    </row>
    <row r="364">
      <c r="A364" t="inlineStr">
        <is>
          <t>CON-363</t>
        </is>
      </c>
      <c r="B364" t="inlineStr">
        <is>
          <t>Telangana</t>
        </is>
      </c>
      <c r="C364" t="inlineStr">
        <is>
          <t>Telangana_Dist_363</t>
        </is>
      </c>
      <c r="D364" t="inlineStr">
        <is>
          <t>SC</t>
        </is>
      </c>
      <c r="E364" s="14" t="n">
        <v>3521</v>
      </c>
      <c r="F364" s="14" t="n">
        <v>5675</v>
      </c>
      <c r="G364" s="15" t="n">
        <v>53.28</v>
      </c>
      <c r="H364" t="n">
        <v>1</v>
      </c>
      <c r="I364" s="14" t="n">
        <v>2200</v>
      </c>
      <c r="J364" s="15" t="n">
        <v>2.58</v>
      </c>
      <c r="K364" s="15" t="n">
        <v>158</v>
      </c>
      <c r="L364" s="15" t="inlineStr">
        <is>
          <t>Under-represented</t>
        </is>
      </c>
      <c r="M364" s="15">
        <f>IFERROR((F364-E364)/E364*100,0)</f>
        <v/>
      </c>
      <c r="N364" s="14">
        <f>F364-I364</f>
        <v/>
      </c>
      <c r="O364" s="14" t="n"/>
    </row>
    <row r="365">
      <c r="A365" t="inlineStr">
        <is>
          <t>CON-364</t>
        </is>
      </c>
      <c r="B365" t="inlineStr">
        <is>
          <t>Gujarat</t>
        </is>
      </c>
      <c r="C365" t="inlineStr">
        <is>
          <t>Gujarat_Dist_364</t>
        </is>
      </c>
      <c r="D365" t="inlineStr">
        <is>
          <t>General</t>
        </is>
      </c>
      <c r="E365" s="14" t="n">
        <v>1842</v>
      </c>
      <c r="F365" s="14" t="n">
        <v>2412</v>
      </c>
      <c r="G365" s="15" t="n">
        <v>83.28</v>
      </c>
      <c r="H365" t="n">
        <v>1</v>
      </c>
      <c r="I365" s="14" t="n">
        <v>2200</v>
      </c>
      <c r="J365" s="15" t="n">
        <v>1.1</v>
      </c>
      <c r="K365" s="15" t="n">
        <v>10</v>
      </c>
      <c r="L365" s="15" t="inlineStr">
        <is>
          <t>Balanced</t>
        </is>
      </c>
      <c r="M365" s="15">
        <f>IFERROR((F365-E365)/E365*100,0)</f>
        <v/>
      </c>
      <c r="N365" s="14">
        <f>F365-I365</f>
        <v/>
      </c>
      <c r="O365" s="14" t="n"/>
    </row>
    <row r="366">
      <c r="A366" t="inlineStr">
        <is>
          <t>CON-365</t>
        </is>
      </c>
      <c r="B366" t="inlineStr">
        <is>
          <t>Maharashtra</t>
        </is>
      </c>
      <c r="C366" t="inlineStr">
        <is>
          <t>Maharashtra_Dist_365</t>
        </is>
      </c>
      <c r="D366" t="inlineStr">
        <is>
          <t>General</t>
        </is>
      </c>
      <c r="E366" s="14" t="n">
        <v>3276</v>
      </c>
      <c r="F366" s="14" t="n">
        <v>5709</v>
      </c>
      <c r="G366" s="15" t="n">
        <v>70.47</v>
      </c>
      <c r="H366" t="n">
        <v>1</v>
      </c>
      <c r="I366" s="14" t="n">
        <v>2200</v>
      </c>
      <c r="J366" s="15" t="n">
        <v>2.6</v>
      </c>
      <c r="K366" s="15" t="n">
        <v>160</v>
      </c>
      <c r="L366" s="15" t="inlineStr">
        <is>
          <t>Under-represented</t>
        </is>
      </c>
      <c r="M366" s="15">
        <f>IFERROR((F366-E366)/E366*100,0)</f>
        <v/>
      </c>
      <c r="N366" s="14">
        <f>F366-I366</f>
        <v/>
      </c>
      <c r="O366" s="14" t="n"/>
    </row>
    <row r="367">
      <c r="A367" t="inlineStr">
        <is>
          <t>CON-366</t>
        </is>
      </c>
      <c r="B367" t="inlineStr">
        <is>
          <t>Kerala</t>
        </is>
      </c>
      <c r="C367" t="inlineStr">
        <is>
          <t>Kerala_Dist_366</t>
        </is>
      </c>
      <c r="D367" t="inlineStr">
        <is>
          <t>SC</t>
        </is>
      </c>
      <c r="E367" s="14" t="n">
        <v>1703</v>
      </c>
      <c r="F367" s="14" t="n">
        <v>2161</v>
      </c>
      <c r="G367" s="15" t="n">
        <v>75.45999999999999</v>
      </c>
      <c r="H367" t="n">
        <v>1</v>
      </c>
      <c r="I367" s="14" t="n">
        <v>2200</v>
      </c>
      <c r="J367" s="15" t="n">
        <v>0.98</v>
      </c>
      <c r="K367" s="15" t="n">
        <v>2</v>
      </c>
      <c r="L367" s="15" t="inlineStr">
        <is>
          <t>Balanced</t>
        </is>
      </c>
      <c r="M367" s="15">
        <f>IFERROR((F367-E367)/E367*100,0)</f>
        <v/>
      </c>
      <c r="N367" s="14">
        <f>F367-I367</f>
        <v/>
      </c>
      <c r="O367" s="14" t="n"/>
    </row>
    <row r="368">
      <c r="A368" t="inlineStr">
        <is>
          <t>CON-367</t>
        </is>
      </c>
      <c r="B368" t="inlineStr">
        <is>
          <t>Bihar</t>
        </is>
      </c>
      <c r="C368" t="inlineStr">
        <is>
          <t>Bihar_Dist_367</t>
        </is>
      </c>
      <c r="D368" t="inlineStr">
        <is>
          <t>SC</t>
        </is>
      </c>
      <c r="E368" s="14" t="n">
        <v>2255</v>
      </c>
      <c r="F368" s="14" t="n">
        <v>2938</v>
      </c>
      <c r="G368" s="15" t="n">
        <v>64.01000000000001</v>
      </c>
      <c r="H368" t="n">
        <v>1</v>
      </c>
      <c r="I368" s="14" t="n">
        <v>2200</v>
      </c>
      <c r="J368" s="15" t="n">
        <v>1.34</v>
      </c>
      <c r="K368" s="15" t="n">
        <v>34</v>
      </c>
      <c r="L368" s="15" t="inlineStr">
        <is>
          <t>Under-represented</t>
        </is>
      </c>
      <c r="M368" s="15">
        <f>IFERROR((F368-E368)/E368*100,0)</f>
        <v/>
      </c>
      <c r="N368" s="14">
        <f>F368-I368</f>
        <v/>
      </c>
      <c r="O368" s="14" t="n"/>
    </row>
    <row r="369">
      <c r="A369" t="inlineStr">
        <is>
          <t>CON-368</t>
        </is>
      </c>
      <c r="B369" t="inlineStr">
        <is>
          <t>Kerala</t>
        </is>
      </c>
      <c r="C369" t="inlineStr">
        <is>
          <t>Kerala_Dist_368</t>
        </is>
      </c>
      <c r="D369" t="inlineStr">
        <is>
          <t>General</t>
        </is>
      </c>
      <c r="E369" s="14" t="n">
        <v>3095</v>
      </c>
      <c r="F369" s="14" t="n">
        <v>4438</v>
      </c>
      <c r="G369" s="15" t="n">
        <v>80.27</v>
      </c>
      <c r="H369" t="n">
        <v>1</v>
      </c>
      <c r="I369" s="14" t="n">
        <v>2200</v>
      </c>
      <c r="J369" s="15" t="n">
        <v>2.02</v>
      </c>
      <c r="K369" s="15" t="n">
        <v>102</v>
      </c>
      <c r="L369" s="15" t="inlineStr">
        <is>
          <t>Under-represented</t>
        </is>
      </c>
      <c r="M369" s="15">
        <f>IFERROR((F369-E369)/E369*100,0)</f>
        <v/>
      </c>
      <c r="N369" s="14">
        <f>F369-I369</f>
        <v/>
      </c>
      <c r="O369" s="14" t="n"/>
    </row>
    <row r="370">
      <c r="A370" t="inlineStr">
        <is>
          <t>CON-369</t>
        </is>
      </c>
      <c r="B370" t="inlineStr">
        <is>
          <t>Karnataka</t>
        </is>
      </c>
      <c r="C370" t="inlineStr">
        <is>
          <t>Karnataka_Dist_369</t>
        </is>
      </c>
      <c r="D370" t="inlineStr">
        <is>
          <t>General</t>
        </is>
      </c>
      <c r="E370" s="14" t="n">
        <v>2746</v>
      </c>
      <c r="F370" s="14" t="n">
        <v>4086</v>
      </c>
      <c r="G370" s="15" t="n">
        <v>60.54</v>
      </c>
      <c r="H370" t="n">
        <v>1</v>
      </c>
      <c r="I370" s="14" t="n">
        <v>2200</v>
      </c>
      <c r="J370" s="15" t="n">
        <v>1.86</v>
      </c>
      <c r="K370" s="15" t="n">
        <v>86</v>
      </c>
      <c r="L370" s="15" t="inlineStr">
        <is>
          <t>Under-represented</t>
        </is>
      </c>
      <c r="M370" s="15">
        <f>IFERROR((F370-E370)/E370*100,0)</f>
        <v/>
      </c>
      <c r="N370" s="14">
        <f>F370-I370</f>
        <v/>
      </c>
      <c r="O370" s="14" t="n"/>
    </row>
    <row r="371">
      <c r="A371" t="inlineStr">
        <is>
          <t>CON-370</t>
        </is>
      </c>
      <c r="B371" t="inlineStr">
        <is>
          <t>Uttar Pradesh</t>
        </is>
      </c>
      <c r="C371" t="inlineStr">
        <is>
          <t>Uttar_Dist_370</t>
        </is>
      </c>
      <c r="D371" t="inlineStr">
        <is>
          <t>SC</t>
        </is>
      </c>
      <c r="E371" s="14" t="n">
        <v>2112</v>
      </c>
      <c r="F371" s="14" t="n">
        <v>3480</v>
      </c>
      <c r="G371" s="15" t="n">
        <v>66.12</v>
      </c>
      <c r="H371" t="n">
        <v>1</v>
      </c>
      <c r="I371" s="14" t="n">
        <v>2200</v>
      </c>
      <c r="J371" s="15" t="n">
        <v>1.58</v>
      </c>
      <c r="K371" s="15" t="n">
        <v>58</v>
      </c>
      <c r="L371" s="15" t="inlineStr">
        <is>
          <t>Under-represented</t>
        </is>
      </c>
      <c r="M371" s="15">
        <f>IFERROR((F371-E371)/E371*100,0)</f>
        <v/>
      </c>
      <c r="N371" s="14">
        <f>F371-I371</f>
        <v/>
      </c>
      <c r="O371" s="14" t="n"/>
    </row>
    <row r="372">
      <c r="A372" t="inlineStr">
        <is>
          <t>CON-371</t>
        </is>
      </c>
      <c r="B372" t="inlineStr">
        <is>
          <t>Andhra Pradesh</t>
        </is>
      </c>
      <c r="C372" t="inlineStr">
        <is>
          <t>Andhra_Dist_371</t>
        </is>
      </c>
      <c r="D372" t="inlineStr">
        <is>
          <t>General</t>
        </is>
      </c>
      <c r="E372" s="14" t="n">
        <v>3601</v>
      </c>
      <c r="F372" s="14" t="n">
        <v>4843</v>
      </c>
      <c r="G372" s="15" t="n">
        <v>80.69</v>
      </c>
      <c r="H372" t="n">
        <v>1</v>
      </c>
      <c r="I372" s="14" t="n">
        <v>2200</v>
      </c>
      <c r="J372" s="15" t="n">
        <v>2.2</v>
      </c>
      <c r="K372" s="15" t="n">
        <v>120</v>
      </c>
      <c r="L372" s="15" t="inlineStr">
        <is>
          <t>Under-represented</t>
        </is>
      </c>
      <c r="M372" s="15">
        <f>IFERROR((F372-E372)/E372*100,0)</f>
        <v/>
      </c>
      <c r="N372" s="14">
        <f>F372-I372</f>
        <v/>
      </c>
      <c r="O372" s="14" t="n"/>
    </row>
    <row r="373">
      <c r="A373" t="inlineStr">
        <is>
          <t>CON-372</t>
        </is>
      </c>
      <c r="B373" t="inlineStr">
        <is>
          <t>Bihar</t>
        </is>
      </c>
      <c r="C373" t="inlineStr">
        <is>
          <t>Bihar_Dist_372</t>
        </is>
      </c>
      <c r="D373" t="inlineStr">
        <is>
          <t>General</t>
        </is>
      </c>
      <c r="E373" s="14" t="n">
        <v>2413</v>
      </c>
      <c r="F373" s="14" t="n">
        <v>3427</v>
      </c>
      <c r="G373" s="15" t="n">
        <v>81.77</v>
      </c>
      <c r="H373" t="n">
        <v>1</v>
      </c>
      <c r="I373" s="14" t="n">
        <v>2200</v>
      </c>
      <c r="J373" s="15" t="n">
        <v>1.56</v>
      </c>
      <c r="K373" s="15" t="n">
        <v>56</v>
      </c>
      <c r="L373" s="15" t="inlineStr">
        <is>
          <t>Under-represented</t>
        </is>
      </c>
      <c r="M373" s="15">
        <f>IFERROR((F373-E373)/E373*100,0)</f>
        <v/>
      </c>
      <c r="N373" s="14">
        <f>F373-I373</f>
        <v/>
      </c>
      <c r="O373" s="14" t="n"/>
    </row>
    <row r="374">
      <c r="A374" t="inlineStr">
        <is>
          <t>CON-373</t>
        </is>
      </c>
      <c r="B374" t="inlineStr">
        <is>
          <t>Uttar Pradesh</t>
        </is>
      </c>
      <c r="C374" t="inlineStr">
        <is>
          <t>Uttar_Dist_373</t>
        </is>
      </c>
      <c r="D374" t="inlineStr">
        <is>
          <t>General</t>
        </is>
      </c>
      <c r="E374" s="14" t="n">
        <v>1549</v>
      </c>
      <c r="F374" s="14" t="n">
        <v>2437</v>
      </c>
      <c r="G374" s="15" t="n">
        <v>61.21</v>
      </c>
      <c r="H374" t="n">
        <v>1</v>
      </c>
      <c r="I374" s="14" t="n">
        <v>2200</v>
      </c>
      <c r="J374" s="15" t="n">
        <v>1.11</v>
      </c>
      <c r="K374" s="15" t="n">
        <v>11</v>
      </c>
      <c r="L374" s="15" t="inlineStr">
        <is>
          <t>Balanced</t>
        </is>
      </c>
      <c r="M374" s="15">
        <f>IFERROR((F374-E374)/E374*100,0)</f>
        <v/>
      </c>
      <c r="N374" s="14">
        <f>F374-I374</f>
        <v/>
      </c>
      <c r="O374" s="14" t="n"/>
    </row>
    <row r="375">
      <c r="A375" t="inlineStr">
        <is>
          <t>CON-374</t>
        </is>
      </c>
      <c r="B375" t="inlineStr">
        <is>
          <t>Maharashtra</t>
        </is>
      </c>
      <c r="C375" t="inlineStr">
        <is>
          <t>Maharashtra_Dist_374</t>
        </is>
      </c>
      <c r="D375" t="inlineStr">
        <is>
          <t>General</t>
        </is>
      </c>
      <c r="E375" s="14" t="n">
        <v>2786</v>
      </c>
      <c r="F375" s="14" t="n">
        <v>4711</v>
      </c>
      <c r="G375" s="15" t="n">
        <v>65.64</v>
      </c>
      <c r="H375" t="n">
        <v>1</v>
      </c>
      <c r="I375" s="14" t="n">
        <v>2200</v>
      </c>
      <c r="J375" s="15" t="n">
        <v>2.14</v>
      </c>
      <c r="K375" s="15" t="n">
        <v>114</v>
      </c>
      <c r="L375" s="15" t="inlineStr">
        <is>
          <t>Under-represented</t>
        </is>
      </c>
      <c r="M375" s="15">
        <f>IFERROR((F375-E375)/E375*100,0)</f>
        <v/>
      </c>
      <c r="N375" s="14">
        <f>F375-I375</f>
        <v/>
      </c>
      <c r="O375" s="14" t="n"/>
    </row>
    <row r="376">
      <c r="A376" t="inlineStr">
        <is>
          <t>CON-375</t>
        </is>
      </c>
      <c r="B376" t="inlineStr">
        <is>
          <t>Kerala</t>
        </is>
      </c>
      <c r="C376" t="inlineStr">
        <is>
          <t>Kerala_Dist_375</t>
        </is>
      </c>
      <c r="D376" t="inlineStr">
        <is>
          <t>SC</t>
        </is>
      </c>
      <c r="E376" s="14" t="n">
        <v>2993</v>
      </c>
      <c r="F376" s="14" t="n">
        <v>3982</v>
      </c>
      <c r="G376" s="15" t="n">
        <v>63.14</v>
      </c>
      <c r="H376" t="n">
        <v>1</v>
      </c>
      <c r="I376" s="14" t="n">
        <v>2200</v>
      </c>
      <c r="J376" s="15" t="n">
        <v>1.81</v>
      </c>
      <c r="K376" s="15" t="n">
        <v>81</v>
      </c>
      <c r="L376" s="15" t="inlineStr">
        <is>
          <t>Under-represented</t>
        </is>
      </c>
      <c r="M376" s="15">
        <f>IFERROR((F376-E376)/E376*100,0)</f>
        <v/>
      </c>
      <c r="N376" s="14">
        <f>F376-I376</f>
        <v/>
      </c>
      <c r="O376" s="14" t="n"/>
    </row>
    <row r="377">
      <c r="A377" t="inlineStr">
        <is>
          <t>CON-376</t>
        </is>
      </c>
      <c r="B377" t="inlineStr">
        <is>
          <t>Telangana</t>
        </is>
      </c>
      <c r="C377" t="inlineStr">
        <is>
          <t>Telangana_Dist_376</t>
        </is>
      </c>
      <c r="D377" t="inlineStr">
        <is>
          <t>SC</t>
        </is>
      </c>
      <c r="E377" s="14" t="n">
        <v>1812</v>
      </c>
      <c r="F377" s="14" t="n">
        <v>2540</v>
      </c>
      <c r="G377" s="15" t="n">
        <v>57.78</v>
      </c>
      <c r="H377" t="n">
        <v>1</v>
      </c>
      <c r="I377" s="14" t="n">
        <v>2200</v>
      </c>
      <c r="J377" s="15" t="n">
        <v>1.15</v>
      </c>
      <c r="K377" s="15" t="n">
        <v>15</v>
      </c>
      <c r="L377" s="15" t="inlineStr">
        <is>
          <t>Balanced</t>
        </is>
      </c>
      <c r="M377" s="15">
        <f>IFERROR((F377-E377)/E377*100,0)</f>
        <v/>
      </c>
      <c r="N377" s="14">
        <f>F377-I377</f>
        <v/>
      </c>
      <c r="O377" s="14" t="n"/>
    </row>
    <row r="378">
      <c r="A378" t="inlineStr">
        <is>
          <t>CON-377</t>
        </is>
      </c>
      <c r="B378" t="inlineStr">
        <is>
          <t>Kerala</t>
        </is>
      </c>
      <c r="C378" t="inlineStr">
        <is>
          <t>Kerala_Dist_377</t>
        </is>
      </c>
      <c r="D378" t="inlineStr">
        <is>
          <t>General</t>
        </is>
      </c>
      <c r="E378" s="14" t="n">
        <v>2484</v>
      </c>
      <c r="F378" s="14" t="n">
        <v>3775</v>
      </c>
      <c r="G378" s="15" t="n">
        <v>64.38</v>
      </c>
      <c r="H378" t="n">
        <v>1</v>
      </c>
      <c r="I378" s="14" t="n">
        <v>2200</v>
      </c>
      <c r="J378" s="15" t="n">
        <v>1.72</v>
      </c>
      <c r="K378" s="15" t="n">
        <v>72</v>
      </c>
      <c r="L378" s="15" t="inlineStr">
        <is>
          <t>Under-represented</t>
        </is>
      </c>
      <c r="M378" s="15">
        <f>IFERROR((F378-E378)/E378*100,0)</f>
        <v/>
      </c>
      <c r="N378" s="14">
        <f>F378-I378</f>
        <v/>
      </c>
      <c r="O378" s="14" t="n"/>
    </row>
    <row r="379">
      <c r="A379" t="inlineStr">
        <is>
          <t>CON-378</t>
        </is>
      </c>
      <c r="B379" t="inlineStr">
        <is>
          <t>Andhra Pradesh</t>
        </is>
      </c>
      <c r="C379" t="inlineStr">
        <is>
          <t>Andhra_Dist_378</t>
        </is>
      </c>
      <c r="D379" t="inlineStr">
        <is>
          <t>General</t>
        </is>
      </c>
      <c r="E379" s="14" t="n">
        <v>2985</v>
      </c>
      <c r="F379" s="14" t="n">
        <v>4931</v>
      </c>
      <c r="G379" s="15" t="n">
        <v>64.59999999999999</v>
      </c>
      <c r="H379" t="n">
        <v>1</v>
      </c>
      <c r="I379" s="14" t="n">
        <v>2200</v>
      </c>
      <c r="J379" s="15" t="n">
        <v>2.24</v>
      </c>
      <c r="K379" s="15" t="n">
        <v>124</v>
      </c>
      <c r="L379" s="15" t="inlineStr">
        <is>
          <t>Under-represented</t>
        </is>
      </c>
      <c r="M379" s="15">
        <f>IFERROR((F379-E379)/E379*100,0)</f>
        <v/>
      </c>
      <c r="N379" s="14">
        <f>F379-I379</f>
        <v/>
      </c>
      <c r="O379" s="14" t="n"/>
    </row>
    <row r="380">
      <c r="A380" t="inlineStr">
        <is>
          <t>CON-379</t>
        </is>
      </c>
      <c r="B380" t="inlineStr">
        <is>
          <t>Maharashtra</t>
        </is>
      </c>
      <c r="C380" t="inlineStr">
        <is>
          <t>Maharashtra_Dist_379</t>
        </is>
      </c>
      <c r="D380" t="inlineStr">
        <is>
          <t>General</t>
        </is>
      </c>
      <c r="E380" s="14" t="n">
        <v>3285</v>
      </c>
      <c r="F380" s="14" t="n">
        <v>5659</v>
      </c>
      <c r="G380" s="15" t="n">
        <v>65.41</v>
      </c>
      <c r="H380" t="n">
        <v>1</v>
      </c>
      <c r="I380" s="14" t="n">
        <v>2200</v>
      </c>
      <c r="J380" s="15" t="n">
        <v>2.57</v>
      </c>
      <c r="K380" s="15" t="n">
        <v>157</v>
      </c>
      <c r="L380" s="15" t="inlineStr">
        <is>
          <t>Under-represented</t>
        </is>
      </c>
      <c r="M380" s="15">
        <f>IFERROR((F380-E380)/E380*100,0)</f>
        <v/>
      </c>
      <c r="N380" s="14">
        <f>F380-I380</f>
        <v/>
      </c>
      <c r="O380" s="14" t="n"/>
    </row>
    <row r="381">
      <c r="A381" t="inlineStr">
        <is>
          <t>CON-380</t>
        </is>
      </c>
      <c r="B381" t="inlineStr">
        <is>
          <t>Maharashtra</t>
        </is>
      </c>
      <c r="C381" t="inlineStr">
        <is>
          <t>Maharashtra_Dist_380</t>
        </is>
      </c>
      <c r="D381" t="inlineStr">
        <is>
          <t>General</t>
        </is>
      </c>
      <c r="E381" s="14" t="n">
        <v>1488</v>
      </c>
      <c r="F381" s="14" t="n">
        <v>2475</v>
      </c>
      <c r="G381" s="15" t="n">
        <v>54.44</v>
      </c>
      <c r="H381" t="n">
        <v>1</v>
      </c>
      <c r="I381" s="14" t="n">
        <v>2200</v>
      </c>
      <c r="J381" s="15" t="n">
        <v>1.12</v>
      </c>
      <c r="K381" s="15" t="n">
        <v>12</v>
      </c>
      <c r="L381" s="15" t="inlineStr">
        <is>
          <t>Balanced</t>
        </is>
      </c>
      <c r="M381" s="15">
        <f>IFERROR((F381-E381)/E381*100,0)</f>
        <v/>
      </c>
      <c r="N381" s="14">
        <f>F381-I381</f>
        <v/>
      </c>
      <c r="O381" s="14" t="n"/>
    </row>
    <row r="382">
      <c r="A382" t="inlineStr">
        <is>
          <t>CON-381</t>
        </is>
      </c>
      <c r="B382" t="inlineStr">
        <is>
          <t>West Bengal</t>
        </is>
      </c>
      <c r="C382" t="inlineStr">
        <is>
          <t>West_Dist_381</t>
        </is>
      </c>
      <c r="D382" t="inlineStr">
        <is>
          <t>General</t>
        </is>
      </c>
      <c r="E382" s="14" t="n">
        <v>2571</v>
      </c>
      <c r="F382" s="14" t="n">
        <v>3242</v>
      </c>
      <c r="G382" s="15" t="n">
        <v>68.56999999999999</v>
      </c>
      <c r="H382" t="n">
        <v>1</v>
      </c>
      <c r="I382" s="14" t="n">
        <v>2200</v>
      </c>
      <c r="J382" s="15" t="n">
        <v>1.47</v>
      </c>
      <c r="K382" s="15" t="n">
        <v>47</v>
      </c>
      <c r="L382" s="15" t="inlineStr">
        <is>
          <t>Under-represented</t>
        </is>
      </c>
      <c r="M382" s="15">
        <f>IFERROR((F382-E382)/E382*100,0)</f>
        <v/>
      </c>
      <c r="N382" s="14">
        <f>F382-I382</f>
        <v/>
      </c>
      <c r="O382" s="14" t="n"/>
    </row>
    <row r="383">
      <c r="A383" t="inlineStr">
        <is>
          <t>CON-382</t>
        </is>
      </c>
      <c r="B383" t="inlineStr">
        <is>
          <t>Kerala</t>
        </is>
      </c>
      <c r="C383" t="inlineStr">
        <is>
          <t>Kerala_Dist_382</t>
        </is>
      </c>
      <c r="D383" t="inlineStr">
        <is>
          <t>General</t>
        </is>
      </c>
      <c r="E383" s="14" t="n">
        <v>3390</v>
      </c>
      <c r="F383" s="14" t="n">
        <v>5600</v>
      </c>
      <c r="G383" s="15" t="n">
        <v>66.79000000000001</v>
      </c>
      <c r="H383" t="n">
        <v>1</v>
      </c>
      <c r="I383" s="14" t="n">
        <v>2200</v>
      </c>
      <c r="J383" s="15" t="n">
        <v>2.55</v>
      </c>
      <c r="K383" s="15" t="n">
        <v>155</v>
      </c>
      <c r="L383" s="15" t="inlineStr">
        <is>
          <t>Under-represented</t>
        </is>
      </c>
      <c r="M383" s="15">
        <f>IFERROR((F383-E383)/E383*100,0)</f>
        <v/>
      </c>
      <c r="N383" s="14">
        <f>F383-I383</f>
        <v/>
      </c>
      <c r="O383" s="14" t="n"/>
    </row>
    <row r="384">
      <c r="A384" t="inlineStr">
        <is>
          <t>CON-383</t>
        </is>
      </c>
      <c r="B384" t="inlineStr">
        <is>
          <t>West Bengal</t>
        </is>
      </c>
      <c r="C384" t="inlineStr">
        <is>
          <t>West_Dist_383</t>
        </is>
      </c>
      <c r="D384" t="inlineStr">
        <is>
          <t>General</t>
        </is>
      </c>
      <c r="E384" s="14" t="n">
        <v>3128</v>
      </c>
      <c r="F384" s="14" t="n">
        <v>3916</v>
      </c>
      <c r="G384" s="15" t="n">
        <v>64.98999999999999</v>
      </c>
      <c r="H384" t="n">
        <v>1</v>
      </c>
      <c r="I384" s="14" t="n">
        <v>2200</v>
      </c>
      <c r="J384" s="15" t="n">
        <v>1.78</v>
      </c>
      <c r="K384" s="15" t="n">
        <v>78</v>
      </c>
      <c r="L384" s="15" t="inlineStr">
        <is>
          <t>Under-represented</t>
        </is>
      </c>
      <c r="M384" s="15">
        <f>IFERROR((F384-E384)/E384*100,0)</f>
        <v/>
      </c>
      <c r="N384" s="14">
        <f>F384-I384</f>
        <v/>
      </c>
      <c r="O384" s="14" t="n"/>
    </row>
    <row r="385">
      <c r="A385" t="inlineStr">
        <is>
          <t>CON-384</t>
        </is>
      </c>
      <c r="B385" t="inlineStr">
        <is>
          <t>Gujarat</t>
        </is>
      </c>
      <c r="C385" t="inlineStr">
        <is>
          <t>Gujarat_Dist_384</t>
        </is>
      </c>
      <c r="D385" t="inlineStr">
        <is>
          <t>SC</t>
        </is>
      </c>
      <c r="E385" s="14" t="n">
        <v>2015</v>
      </c>
      <c r="F385" s="14" t="n">
        <v>3029</v>
      </c>
      <c r="G385" s="15" t="n">
        <v>73.20999999999999</v>
      </c>
      <c r="H385" t="n">
        <v>1</v>
      </c>
      <c r="I385" s="14" t="n">
        <v>2200</v>
      </c>
      <c r="J385" s="15" t="n">
        <v>1.38</v>
      </c>
      <c r="K385" s="15" t="n">
        <v>38</v>
      </c>
      <c r="L385" s="15" t="inlineStr">
        <is>
          <t>Under-represented</t>
        </is>
      </c>
      <c r="M385" s="15">
        <f>IFERROR((F385-E385)/E385*100,0)</f>
        <v/>
      </c>
      <c r="N385" s="14">
        <f>F385-I385</f>
        <v/>
      </c>
      <c r="O385" s="14" t="n"/>
    </row>
    <row r="386">
      <c r="A386" t="inlineStr">
        <is>
          <t>CON-385</t>
        </is>
      </c>
      <c r="B386" t="inlineStr">
        <is>
          <t>Kerala</t>
        </is>
      </c>
      <c r="C386" t="inlineStr">
        <is>
          <t>Kerala_Dist_385</t>
        </is>
      </c>
      <c r="D386" t="inlineStr">
        <is>
          <t>General</t>
        </is>
      </c>
      <c r="E386" s="14" t="n">
        <v>3284</v>
      </c>
      <c r="F386" s="14" t="n">
        <v>4171</v>
      </c>
      <c r="G386" s="15" t="n">
        <v>54.64</v>
      </c>
      <c r="H386" t="n">
        <v>1</v>
      </c>
      <c r="I386" s="14" t="n">
        <v>2200</v>
      </c>
      <c r="J386" s="15" t="n">
        <v>1.9</v>
      </c>
      <c r="K386" s="15" t="n">
        <v>90</v>
      </c>
      <c r="L386" s="15" t="inlineStr">
        <is>
          <t>Under-represented</t>
        </is>
      </c>
      <c r="M386" s="15">
        <f>IFERROR((F386-E386)/E386*100,0)</f>
        <v/>
      </c>
      <c r="N386" s="14">
        <f>F386-I386</f>
        <v/>
      </c>
      <c r="O386" s="14" t="n"/>
    </row>
    <row r="387">
      <c r="A387" t="inlineStr">
        <is>
          <t>CON-386</t>
        </is>
      </c>
      <c r="B387" t="inlineStr">
        <is>
          <t>Uttar Pradesh</t>
        </is>
      </c>
      <c r="C387" t="inlineStr">
        <is>
          <t>Uttar_Dist_386</t>
        </is>
      </c>
      <c r="D387" t="inlineStr">
        <is>
          <t>General</t>
        </is>
      </c>
      <c r="E387" s="14" t="n">
        <v>1601</v>
      </c>
      <c r="F387" s="14" t="n">
        <v>2546</v>
      </c>
      <c r="G387" s="15" t="n">
        <v>83.26000000000001</v>
      </c>
      <c r="H387" t="n">
        <v>1</v>
      </c>
      <c r="I387" s="14" t="n">
        <v>2200</v>
      </c>
      <c r="J387" s="15" t="n">
        <v>1.16</v>
      </c>
      <c r="K387" s="15" t="n">
        <v>16</v>
      </c>
      <c r="L387" s="15" t="inlineStr">
        <is>
          <t>Balanced</t>
        </is>
      </c>
      <c r="M387" s="15">
        <f>IFERROR((F387-E387)/E387*100,0)</f>
        <v/>
      </c>
      <c r="N387" s="14">
        <f>F387-I387</f>
        <v/>
      </c>
      <c r="O387" s="14" t="n"/>
    </row>
    <row r="388">
      <c r="A388" t="inlineStr">
        <is>
          <t>CON-387</t>
        </is>
      </c>
      <c r="B388" t="inlineStr">
        <is>
          <t>Gujarat</t>
        </is>
      </c>
      <c r="C388" t="inlineStr">
        <is>
          <t>Gujarat_Dist_387</t>
        </is>
      </c>
      <c r="D388" t="inlineStr">
        <is>
          <t>General</t>
        </is>
      </c>
      <c r="E388" s="14" t="n">
        <v>2451</v>
      </c>
      <c r="F388" s="14" t="n">
        <v>4134</v>
      </c>
      <c r="G388" s="15" t="n">
        <v>71.98999999999999</v>
      </c>
      <c r="H388" t="n">
        <v>1</v>
      </c>
      <c r="I388" s="14" t="n">
        <v>2200</v>
      </c>
      <c r="J388" s="15" t="n">
        <v>1.88</v>
      </c>
      <c r="K388" s="15" t="n">
        <v>88</v>
      </c>
      <c r="L388" s="15" t="inlineStr">
        <is>
          <t>Under-represented</t>
        </is>
      </c>
      <c r="M388" s="15">
        <f>IFERROR((F388-E388)/E388*100,0)</f>
        <v/>
      </c>
      <c r="N388" s="14">
        <f>F388-I388</f>
        <v/>
      </c>
      <c r="O388" s="14" t="n"/>
    </row>
    <row r="389">
      <c r="A389" t="inlineStr">
        <is>
          <t>CON-388</t>
        </is>
      </c>
      <c r="B389" t="inlineStr">
        <is>
          <t>Bihar</t>
        </is>
      </c>
      <c r="C389" t="inlineStr">
        <is>
          <t>Bihar_Dist_388</t>
        </is>
      </c>
      <c r="D389" t="inlineStr">
        <is>
          <t>SC</t>
        </is>
      </c>
      <c r="E389" s="14" t="n">
        <v>2912</v>
      </c>
      <c r="F389" s="14" t="n">
        <v>3931</v>
      </c>
      <c r="G389" s="15" t="n">
        <v>66.01000000000001</v>
      </c>
      <c r="H389" t="n">
        <v>1</v>
      </c>
      <c r="I389" s="14" t="n">
        <v>2200</v>
      </c>
      <c r="J389" s="15" t="n">
        <v>1.79</v>
      </c>
      <c r="K389" s="15" t="n">
        <v>79</v>
      </c>
      <c r="L389" s="15" t="inlineStr">
        <is>
          <t>Under-represented</t>
        </is>
      </c>
      <c r="M389" s="15">
        <f>IFERROR((F389-E389)/E389*100,0)</f>
        <v/>
      </c>
      <c r="N389" s="14">
        <f>F389-I389</f>
        <v/>
      </c>
      <c r="O389" s="14" t="n"/>
    </row>
    <row r="390">
      <c r="A390" t="inlineStr">
        <is>
          <t>CON-389</t>
        </is>
      </c>
      <c r="B390" t="inlineStr">
        <is>
          <t>Gujarat</t>
        </is>
      </c>
      <c r="C390" t="inlineStr">
        <is>
          <t>Gujarat_Dist_389</t>
        </is>
      </c>
      <c r="D390" t="inlineStr">
        <is>
          <t>General</t>
        </is>
      </c>
      <c r="E390" s="14" t="n">
        <v>1814</v>
      </c>
      <c r="F390" s="14" t="n">
        <v>2354</v>
      </c>
      <c r="G390" s="15" t="n">
        <v>52.78</v>
      </c>
      <c r="H390" t="n">
        <v>1</v>
      </c>
      <c r="I390" s="14" t="n">
        <v>2200</v>
      </c>
      <c r="J390" s="15" t="n">
        <v>1.07</v>
      </c>
      <c r="K390" s="15" t="n">
        <v>7</v>
      </c>
      <c r="L390" s="15" t="inlineStr">
        <is>
          <t>Balanced</t>
        </is>
      </c>
      <c r="M390" s="15">
        <f>IFERROR((F390-E390)/E390*100,0)</f>
        <v/>
      </c>
      <c r="N390" s="14">
        <f>F390-I390</f>
        <v/>
      </c>
      <c r="O390" s="14" t="n"/>
    </row>
    <row r="391">
      <c r="A391" t="inlineStr">
        <is>
          <t>CON-390</t>
        </is>
      </c>
      <c r="B391" t="inlineStr">
        <is>
          <t>Tamil Nadu</t>
        </is>
      </c>
      <c r="C391" t="inlineStr">
        <is>
          <t>Tamil_Dist_390</t>
        </is>
      </c>
      <c r="D391" t="inlineStr">
        <is>
          <t>General</t>
        </is>
      </c>
      <c r="E391" s="14" t="n">
        <v>2928</v>
      </c>
      <c r="F391" s="14" t="n">
        <v>4819</v>
      </c>
      <c r="G391" s="15" t="n">
        <v>59.66</v>
      </c>
      <c r="H391" t="n">
        <v>1</v>
      </c>
      <c r="I391" s="14" t="n">
        <v>2200</v>
      </c>
      <c r="J391" s="15" t="n">
        <v>2.19</v>
      </c>
      <c r="K391" s="15" t="n">
        <v>119</v>
      </c>
      <c r="L391" s="15" t="inlineStr">
        <is>
          <t>Under-represented</t>
        </is>
      </c>
      <c r="M391" s="15">
        <f>IFERROR((F391-E391)/E391*100,0)</f>
        <v/>
      </c>
      <c r="N391" s="14">
        <f>F391-I391</f>
        <v/>
      </c>
      <c r="O391" s="14" t="n"/>
    </row>
    <row r="392">
      <c r="A392" t="inlineStr">
        <is>
          <t>CON-391</t>
        </is>
      </c>
      <c r="B392" t="inlineStr">
        <is>
          <t>Telangana</t>
        </is>
      </c>
      <c r="C392" t="inlineStr">
        <is>
          <t>Telangana_Dist_391</t>
        </is>
      </c>
      <c r="D392" t="inlineStr">
        <is>
          <t>General</t>
        </is>
      </c>
      <c r="E392" s="14" t="n">
        <v>2712</v>
      </c>
      <c r="F392" s="14" t="n">
        <v>3833</v>
      </c>
      <c r="G392" s="15" t="n">
        <v>84.12</v>
      </c>
      <c r="H392" t="n">
        <v>1</v>
      </c>
      <c r="I392" s="14" t="n">
        <v>2200</v>
      </c>
      <c r="J392" s="15" t="n">
        <v>1.74</v>
      </c>
      <c r="K392" s="15" t="n">
        <v>74</v>
      </c>
      <c r="L392" s="15" t="inlineStr">
        <is>
          <t>Under-represented</t>
        </is>
      </c>
      <c r="M392" s="15">
        <f>IFERROR((F392-E392)/E392*100,0)</f>
        <v/>
      </c>
      <c r="N392" s="14">
        <f>F392-I392</f>
        <v/>
      </c>
      <c r="O392" s="14" t="n"/>
    </row>
    <row r="393">
      <c r="A393" t="inlineStr">
        <is>
          <t>CON-392</t>
        </is>
      </c>
      <c r="B393" t="inlineStr">
        <is>
          <t>Gujarat</t>
        </is>
      </c>
      <c r="C393" t="inlineStr">
        <is>
          <t>Gujarat_Dist_392</t>
        </is>
      </c>
      <c r="D393" t="inlineStr">
        <is>
          <t>General</t>
        </is>
      </c>
      <c r="E393" s="14" t="n">
        <v>1510</v>
      </c>
      <c r="F393" s="14" t="n">
        <v>2045</v>
      </c>
      <c r="G393" s="15" t="n">
        <v>59.18</v>
      </c>
      <c r="H393" t="n">
        <v>1</v>
      </c>
      <c r="I393" s="14" t="n">
        <v>2200</v>
      </c>
      <c r="J393" s="15" t="n">
        <v>0.93</v>
      </c>
      <c r="K393" s="15" t="n">
        <v>7</v>
      </c>
      <c r="L393" s="15" t="inlineStr">
        <is>
          <t>Balanced</t>
        </is>
      </c>
      <c r="M393" s="15">
        <f>IFERROR((F393-E393)/E393*100,0)</f>
        <v/>
      </c>
      <c r="N393" s="14">
        <f>F393-I393</f>
        <v/>
      </c>
      <c r="O393" s="14" t="n"/>
    </row>
    <row r="394">
      <c r="A394" t="inlineStr">
        <is>
          <t>CON-393</t>
        </is>
      </c>
      <c r="B394" t="inlineStr">
        <is>
          <t>Tamil Nadu</t>
        </is>
      </c>
      <c r="C394" t="inlineStr">
        <is>
          <t>Tamil_Dist_393</t>
        </is>
      </c>
      <c r="D394" t="inlineStr">
        <is>
          <t>General</t>
        </is>
      </c>
      <c r="E394" s="14" t="n">
        <v>2839</v>
      </c>
      <c r="F394" s="14" t="n">
        <v>4630</v>
      </c>
      <c r="G394" s="15" t="n">
        <v>76.70999999999999</v>
      </c>
      <c r="H394" t="n">
        <v>1</v>
      </c>
      <c r="I394" s="14" t="n">
        <v>2200</v>
      </c>
      <c r="J394" s="15" t="n">
        <v>2.1</v>
      </c>
      <c r="K394" s="15" t="n">
        <v>110</v>
      </c>
      <c r="L394" s="15" t="inlineStr">
        <is>
          <t>Under-represented</t>
        </is>
      </c>
      <c r="M394" s="15">
        <f>IFERROR((F394-E394)/E394*100,0)</f>
        <v/>
      </c>
      <c r="N394" s="14">
        <f>F394-I394</f>
        <v/>
      </c>
      <c r="O394" s="14" t="n"/>
    </row>
    <row r="395">
      <c r="A395" t="inlineStr">
        <is>
          <t>CON-394</t>
        </is>
      </c>
      <c r="B395" t="inlineStr">
        <is>
          <t>Andhra Pradesh</t>
        </is>
      </c>
      <c r="C395" t="inlineStr">
        <is>
          <t>Andhra_Dist_394</t>
        </is>
      </c>
      <c r="D395" t="inlineStr">
        <is>
          <t>General</t>
        </is>
      </c>
      <c r="E395" s="14" t="n">
        <v>2394</v>
      </c>
      <c r="F395" s="14" t="n">
        <v>3542</v>
      </c>
      <c r="G395" s="15" t="n">
        <v>81.92</v>
      </c>
      <c r="H395" t="n">
        <v>1</v>
      </c>
      <c r="I395" s="14" t="n">
        <v>2200</v>
      </c>
      <c r="J395" s="15" t="n">
        <v>1.61</v>
      </c>
      <c r="K395" s="15" t="n">
        <v>61</v>
      </c>
      <c r="L395" s="15" t="inlineStr">
        <is>
          <t>Under-represented</t>
        </is>
      </c>
      <c r="M395" s="15">
        <f>IFERROR((F395-E395)/E395*100,0)</f>
        <v/>
      </c>
      <c r="N395" s="14">
        <f>F395-I395</f>
        <v/>
      </c>
      <c r="O395" s="14" t="n"/>
    </row>
    <row r="396">
      <c r="A396" t="inlineStr">
        <is>
          <t>CON-395</t>
        </is>
      </c>
      <c r="B396" t="inlineStr">
        <is>
          <t>West Bengal</t>
        </is>
      </c>
      <c r="C396" t="inlineStr">
        <is>
          <t>West_Dist_395</t>
        </is>
      </c>
      <c r="D396" t="inlineStr">
        <is>
          <t>General</t>
        </is>
      </c>
      <c r="E396" s="14" t="n">
        <v>3305</v>
      </c>
      <c r="F396" s="14" t="n">
        <v>5008</v>
      </c>
      <c r="G396" s="15" t="n">
        <v>59.67</v>
      </c>
      <c r="H396" t="n">
        <v>1</v>
      </c>
      <c r="I396" s="14" t="n">
        <v>2200</v>
      </c>
      <c r="J396" s="15" t="n">
        <v>2.28</v>
      </c>
      <c r="K396" s="15" t="n">
        <v>128</v>
      </c>
      <c r="L396" s="15" t="inlineStr">
        <is>
          <t>Under-represented</t>
        </is>
      </c>
      <c r="M396" s="15">
        <f>IFERROR((F396-E396)/E396*100,0)</f>
        <v/>
      </c>
      <c r="N396" s="14">
        <f>F396-I396</f>
        <v/>
      </c>
      <c r="O396" s="14" t="n"/>
    </row>
    <row r="397">
      <c r="A397" t="inlineStr">
        <is>
          <t>CON-396</t>
        </is>
      </c>
      <c r="B397" t="inlineStr">
        <is>
          <t>Tamil Nadu</t>
        </is>
      </c>
      <c r="C397" t="inlineStr">
        <is>
          <t>Tamil_Dist_396</t>
        </is>
      </c>
      <c r="D397" t="inlineStr">
        <is>
          <t>General</t>
        </is>
      </c>
      <c r="E397" s="14" t="n">
        <v>2650</v>
      </c>
      <c r="F397" s="14" t="n">
        <v>4332</v>
      </c>
      <c r="G397" s="15" t="n">
        <v>71.16</v>
      </c>
      <c r="H397" t="n">
        <v>1</v>
      </c>
      <c r="I397" s="14" t="n">
        <v>2200</v>
      </c>
      <c r="J397" s="15" t="n">
        <v>1.97</v>
      </c>
      <c r="K397" s="15" t="n">
        <v>97</v>
      </c>
      <c r="L397" s="15" t="inlineStr">
        <is>
          <t>Under-represented</t>
        </is>
      </c>
      <c r="M397" s="15">
        <f>IFERROR((F397-E397)/E397*100,0)</f>
        <v/>
      </c>
      <c r="N397" s="14">
        <f>F397-I397</f>
        <v/>
      </c>
      <c r="O397" s="14" t="n"/>
    </row>
    <row r="398">
      <c r="A398" t="inlineStr">
        <is>
          <t>CON-397</t>
        </is>
      </c>
      <c r="B398" t="inlineStr">
        <is>
          <t>Bihar</t>
        </is>
      </c>
      <c r="C398" t="inlineStr">
        <is>
          <t>Bihar_Dist_397</t>
        </is>
      </c>
      <c r="D398" t="inlineStr">
        <is>
          <t>General</t>
        </is>
      </c>
      <c r="E398" s="14" t="n">
        <v>3346</v>
      </c>
      <c r="F398" s="14" t="n">
        <v>4324</v>
      </c>
      <c r="G398" s="15" t="n">
        <v>80.51000000000001</v>
      </c>
      <c r="H398" t="n">
        <v>1</v>
      </c>
      <c r="I398" s="14" t="n">
        <v>2200</v>
      </c>
      <c r="J398" s="15" t="n">
        <v>1.97</v>
      </c>
      <c r="K398" s="15" t="n">
        <v>97</v>
      </c>
      <c r="L398" s="15" t="inlineStr">
        <is>
          <t>Under-represented</t>
        </is>
      </c>
      <c r="M398" s="15">
        <f>IFERROR((F398-E398)/E398*100,0)</f>
        <v/>
      </c>
      <c r="N398" s="14">
        <f>F398-I398</f>
        <v/>
      </c>
      <c r="O398" s="14" t="n"/>
    </row>
    <row r="399">
      <c r="A399" t="inlineStr">
        <is>
          <t>CON-398</t>
        </is>
      </c>
      <c r="B399" t="inlineStr">
        <is>
          <t>Maharashtra</t>
        </is>
      </c>
      <c r="C399" t="inlineStr">
        <is>
          <t>Maharashtra_Dist_398</t>
        </is>
      </c>
      <c r="D399" t="inlineStr">
        <is>
          <t>SC</t>
        </is>
      </c>
      <c r="E399" s="14" t="n">
        <v>2428</v>
      </c>
      <c r="F399" s="14" t="n">
        <v>3423</v>
      </c>
      <c r="G399" s="15" t="n">
        <v>82.65000000000001</v>
      </c>
      <c r="H399" t="n">
        <v>1</v>
      </c>
      <c r="I399" s="14" t="n">
        <v>2200</v>
      </c>
      <c r="J399" s="15" t="n">
        <v>1.56</v>
      </c>
      <c r="K399" s="15" t="n">
        <v>56</v>
      </c>
      <c r="L399" s="15" t="inlineStr">
        <is>
          <t>Under-represented</t>
        </is>
      </c>
      <c r="M399" s="15">
        <f>IFERROR((F399-E399)/E399*100,0)</f>
        <v/>
      </c>
      <c r="N399" s="14">
        <f>F399-I399</f>
        <v/>
      </c>
      <c r="O399" s="14" t="n"/>
    </row>
    <row r="400">
      <c r="A400" t="inlineStr">
        <is>
          <t>CON-399</t>
        </is>
      </c>
      <c r="B400" t="inlineStr">
        <is>
          <t>Telangana</t>
        </is>
      </c>
      <c r="C400" t="inlineStr">
        <is>
          <t>Telangana_Dist_399</t>
        </is>
      </c>
      <c r="D400" t="inlineStr">
        <is>
          <t>General</t>
        </is>
      </c>
      <c r="E400" s="14" t="n">
        <v>2178</v>
      </c>
      <c r="F400" s="14" t="n">
        <v>3494</v>
      </c>
      <c r="G400" s="15" t="n">
        <v>68.34</v>
      </c>
      <c r="H400" t="n">
        <v>1</v>
      </c>
      <c r="I400" s="14" t="n">
        <v>2200</v>
      </c>
      <c r="J400" s="15" t="n">
        <v>1.59</v>
      </c>
      <c r="K400" s="15" t="n">
        <v>59</v>
      </c>
      <c r="L400" s="15" t="inlineStr">
        <is>
          <t>Under-represented</t>
        </is>
      </c>
      <c r="M400" s="15">
        <f>IFERROR((F400-E400)/E400*100,0)</f>
        <v/>
      </c>
      <c r="N400" s="14">
        <f>F400-I400</f>
        <v/>
      </c>
      <c r="O400" s="14" t="n"/>
    </row>
    <row r="401">
      <c r="A401" t="inlineStr">
        <is>
          <t>CON-400</t>
        </is>
      </c>
      <c r="B401" t="inlineStr">
        <is>
          <t>Gujarat</t>
        </is>
      </c>
      <c r="C401" t="inlineStr">
        <is>
          <t>Gujarat_Dist_400</t>
        </is>
      </c>
      <c r="D401" t="inlineStr">
        <is>
          <t>General</t>
        </is>
      </c>
      <c r="E401" s="14" t="n">
        <v>2626</v>
      </c>
      <c r="F401" s="14" t="n">
        <v>3648</v>
      </c>
      <c r="G401" s="15" t="n">
        <v>81.98</v>
      </c>
      <c r="H401" t="n">
        <v>1</v>
      </c>
      <c r="I401" s="14" t="n">
        <v>2200</v>
      </c>
      <c r="J401" s="15" t="n">
        <v>1.66</v>
      </c>
      <c r="K401" s="15" t="n">
        <v>66</v>
      </c>
      <c r="L401" s="15" t="inlineStr">
        <is>
          <t>Under-represented</t>
        </is>
      </c>
      <c r="M401" s="15">
        <f>IFERROR((F401-E401)/E401*100,0)</f>
        <v/>
      </c>
      <c r="N401" s="14">
        <f>F401-I401</f>
        <v/>
      </c>
      <c r="O401" s="14" t="n"/>
    </row>
    <row r="402">
      <c r="A402" t="inlineStr">
        <is>
          <t>CON-401</t>
        </is>
      </c>
      <c r="B402" t="inlineStr">
        <is>
          <t>West Bengal</t>
        </is>
      </c>
      <c r="C402" t="inlineStr">
        <is>
          <t>West_Dist_401</t>
        </is>
      </c>
      <c r="D402" t="inlineStr">
        <is>
          <t>General</t>
        </is>
      </c>
      <c r="E402" s="14" t="n">
        <v>2887</v>
      </c>
      <c r="F402" s="14" t="n">
        <v>4842</v>
      </c>
      <c r="G402" s="15" t="n">
        <v>82.37</v>
      </c>
      <c r="H402" t="n">
        <v>1</v>
      </c>
      <c r="I402" s="14" t="n">
        <v>2200</v>
      </c>
      <c r="J402" s="15" t="n">
        <v>2.2</v>
      </c>
      <c r="K402" s="15" t="n">
        <v>120</v>
      </c>
      <c r="L402" s="15" t="inlineStr">
        <is>
          <t>Under-represented</t>
        </is>
      </c>
      <c r="M402" s="15">
        <f>IFERROR((F402-E402)/E402*100,0)</f>
        <v/>
      </c>
      <c r="N402" s="14">
        <f>F402-I402</f>
        <v/>
      </c>
      <c r="O402" s="14" t="n"/>
    </row>
    <row r="403">
      <c r="A403" t="inlineStr">
        <is>
          <t>CON-402</t>
        </is>
      </c>
      <c r="B403" t="inlineStr">
        <is>
          <t>Karnataka</t>
        </is>
      </c>
      <c r="C403" t="inlineStr">
        <is>
          <t>Karnataka_Dist_402</t>
        </is>
      </c>
      <c r="D403" t="inlineStr">
        <is>
          <t>General</t>
        </is>
      </c>
      <c r="E403" s="14" t="n">
        <v>2846</v>
      </c>
      <c r="F403" s="14" t="n">
        <v>4083</v>
      </c>
      <c r="G403" s="15" t="n">
        <v>84.36</v>
      </c>
      <c r="H403" t="n">
        <v>1</v>
      </c>
      <c r="I403" s="14" t="n">
        <v>2200</v>
      </c>
      <c r="J403" s="15" t="n">
        <v>1.86</v>
      </c>
      <c r="K403" s="15" t="n">
        <v>86</v>
      </c>
      <c r="L403" s="15" t="inlineStr">
        <is>
          <t>Under-represented</t>
        </is>
      </c>
      <c r="M403" s="15">
        <f>IFERROR((F403-E403)/E403*100,0)</f>
        <v/>
      </c>
      <c r="N403" s="14">
        <f>F403-I403</f>
        <v/>
      </c>
      <c r="O403" s="14" t="n"/>
    </row>
    <row r="404">
      <c r="A404" t="inlineStr">
        <is>
          <t>CON-403</t>
        </is>
      </c>
      <c r="B404" t="inlineStr">
        <is>
          <t>Gujarat</t>
        </is>
      </c>
      <c r="C404" t="inlineStr">
        <is>
          <t>Gujarat_Dist_403</t>
        </is>
      </c>
      <c r="D404" t="inlineStr">
        <is>
          <t>General</t>
        </is>
      </c>
      <c r="E404" s="14" t="n">
        <v>2441</v>
      </c>
      <c r="F404" s="14" t="n">
        <v>3916</v>
      </c>
      <c r="G404" s="15" t="n">
        <v>66.51000000000001</v>
      </c>
      <c r="H404" t="n">
        <v>1</v>
      </c>
      <c r="I404" s="14" t="n">
        <v>2200</v>
      </c>
      <c r="J404" s="15" t="n">
        <v>1.78</v>
      </c>
      <c r="K404" s="15" t="n">
        <v>78</v>
      </c>
      <c r="L404" s="15" t="inlineStr">
        <is>
          <t>Under-represented</t>
        </is>
      </c>
      <c r="M404" s="15">
        <f>IFERROR((F404-E404)/E404*100,0)</f>
        <v/>
      </c>
      <c r="N404" s="14">
        <f>F404-I404</f>
        <v/>
      </c>
      <c r="O404" s="14" t="n"/>
    </row>
    <row r="405">
      <c r="A405" t="inlineStr">
        <is>
          <t>CON-404</t>
        </is>
      </c>
      <c r="B405" t="inlineStr">
        <is>
          <t>West Bengal</t>
        </is>
      </c>
      <c r="C405" t="inlineStr">
        <is>
          <t>West_Dist_404</t>
        </is>
      </c>
      <c r="D405" t="inlineStr">
        <is>
          <t>General</t>
        </is>
      </c>
      <c r="E405" s="14" t="n">
        <v>1862</v>
      </c>
      <c r="F405" s="14" t="n">
        <v>2877</v>
      </c>
      <c r="G405" s="15" t="n">
        <v>52.27</v>
      </c>
      <c r="H405" t="n">
        <v>1</v>
      </c>
      <c r="I405" s="14" t="n">
        <v>2200</v>
      </c>
      <c r="J405" s="15" t="n">
        <v>1.31</v>
      </c>
      <c r="K405" s="15" t="n">
        <v>31</v>
      </c>
      <c r="L405" s="15" t="inlineStr">
        <is>
          <t>Under-represented</t>
        </is>
      </c>
      <c r="M405" s="15">
        <f>IFERROR((F405-E405)/E405*100,0)</f>
        <v/>
      </c>
      <c r="N405" s="14">
        <f>F405-I405</f>
        <v/>
      </c>
      <c r="O405" s="14" t="n"/>
    </row>
    <row r="406">
      <c r="A406" t="inlineStr">
        <is>
          <t>CON-405</t>
        </is>
      </c>
      <c r="B406" t="inlineStr">
        <is>
          <t>Maharashtra</t>
        </is>
      </c>
      <c r="C406" t="inlineStr">
        <is>
          <t>Maharashtra_Dist_405</t>
        </is>
      </c>
      <c r="D406" t="inlineStr">
        <is>
          <t>ST</t>
        </is>
      </c>
      <c r="E406" s="14" t="n">
        <v>3546</v>
      </c>
      <c r="F406" s="14" t="n">
        <v>5472</v>
      </c>
      <c r="G406" s="15" t="n">
        <v>55.75</v>
      </c>
      <c r="H406" t="n">
        <v>1</v>
      </c>
      <c r="I406" s="14" t="n">
        <v>2200</v>
      </c>
      <c r="J406" s="15" t="n">
        <v>2.49</v>
      </c>
      <c r="K406" s="15" t="n">
        <v>149</v>
      </c>
      <c r="L406" s="15" t="inlineStr">
        <is>
          <t>Under-represented</t>
        </is>
      </c>
      <c r="M406" s="15">
        <f>IFERROR((F406-E406)/E406*100,0)</f>
        <v/>
      </c>
      <c r="N406" s="14">
        <f>F406-I406</f>
        <v/>
      </c>
      <c r="O406" s="14" t="n"/>
    </row>
    <row r="407">
      <c r="A407" t="inlineStr">
        <is>
          <t>CON-406</t>
        </is>
      </c>
      <c r="B407" t="inlineStr">
        <is>
          <t>Tamil Nadu</t>
        </is>
      </c>
      <c r="C407" t="inlineStr">
        <is>
          <t>Tamil_Dist_406</t>
        </is>
      </c>
      <c r="D407" t="inlineStr">
        <is>
          <t>SC</t>
        </is>
      </c>
      <c r="E407" s="14" t="n">
        <v>3121</v>
      </c>
      <c r="F407" s="14" t="n">
        <v>4942</v>
      </c>
      <c r="G407" s="15" t="n">
        <v>70.66</v>
      </c>
      <c r="H407" t="n">
        <v>1</v>
      </c>
      <c r="I407" s="14" t="n">
        <v>2200</v>
      </c>
      <c r="J407" s="15" t="n">
        <v>2.25</v>
      </c>
      <c r="K407" s="15" t="n">
        <v>125</v>
      </c>
      <c r="L407" s="15" t="inlineStr">
        <is>
          <t>Under-represented</t>
        </is>
      </c>
      <c r="M407" s="15">
        <f>IFERROR((F407-E407)/E407*100,0)</f>
        <v/>
      </c>
      <c r="N407" s="14">
        <f>F407-I407</f>
        <v/>
      </c>
      <c r="O407" s="14" t="n"/>
    </row>
    <row r="408">
      <c r="A408" t="inlineStr">
        <is>
          <t>CON-407</t>
        </is>
      </c>
      <c r="B408" t="inlineStr">
        <is>
          <t>Kerala</t>
        </is>
      </c>
      <c r="C408" t="inlineStr">
        <is>
          <t>Kerala_Dist_407</t>
        </is>
      </c>
      <c r="D408" t="inlineStr">
        <is>
          <t>General</t>
        </is>
      </c>
      <c r="E408" s="14" t="n">
        <v>1655</v>
      </c>
      <c r="F408" s="14" t="n">
        <v>2878</v>
      </c>
      <c r="G408" s="15" t="n">
        <v>71.3</v>
      </c>
      <c r="H408" t="n">
        <v>1</v>
      </c>
      <c r="I408" s="14" t="n">
        <v>2200</v>
      </c>
      <c r="J408" s="15" t="n">
        <v>1.31</v>
      </c>
      <c r="K408" s="15" t="n">
        <v>31</v>
      </c>
      <c r="L408" s="15" t="inlineStr">
        <is>
          <t>Under-represented</t>
        </is>
      </c>
      <c r="M408" s="15">
        <f>IFERROR((F408-E408)/E408*100,0)</f>
        <v/>
      </c>
      <c r="N408" s="14">
        <f>F408-I408</f>
        <v/>
      </c>
      <c r="O408" s="14" t="n"/>
    </row>
    <row r="409">
      <c r="A409" t="inlineStr">
        <is>
          <t>CON-408</t>
        </is>
      </c>
      <c r="B409" t="inlineStr">
        <is>
          <t>Gujarat</t>
        </is>
      </c>
      <c r="C409" t="inlineStr">
        <is>
          <t>Gujarat_Dist_408</t>
        </is>
      </c>
      <c r="D409" t="inlineStr">
        <is>
          <t>SC</t>
        </is>
      </c>
      <c r="E409" s="14" t="n">
        <v>1402</v>
      </c>
      <c r="F409" s="14" t="n">
        <v>2343</v>
      </c>
      <c r="G409" s="15" t="n">
        <v>67.08</v>
      </c>
      <c r="H409" t="n">
        <v>1</v>
      </c>
      <c r="I409" s="14" t="n">
        <v>2200</v>
      </c>
      <c r="J409" s="15" t="n">
        <v>1.06</v>
      </c>
      <c r="K409" s="15" t="n">
        <v>6</v>
      </c>
      <c r="L409" s="15" t="inlineStr">
        <is>
          <t>Balanced</t>
        </is>
      </c>
      <c r="M409" s="15">
        <f>IFERROR((F409-E409)/E409*100,0)</f>
        <v/>
      </c>
      <c r="N409" s="14">
        <f>F409-I409</f>
        <v/>
      </c>
      <c r="O409" s="14" t="n"/>
    </row>
    <row r="410">
      <c r="A410" t="inlineStr">
        <is>
          <t>CON-409</t>
        </is>
      </c>
      <c r="B410" t="inlineStr">
        <is>
          <t>Gujarat</t>
        </is>
      </c>
      <c r="C410" t="inlineStr">
        <is>
          <t>Gujarat_Dist_409</t>
        </is>
      </c>
      <c r="D410" t="inlineStr">
        <is>
          <t>General</t>
        </is>
      </c>
      <c r="E410" s="14" t="n">
        <v>3301</v>
      </c>
      <c r="F410" s="14" t="n">
        <v>4500</v>
      </c>
      <c r="G410" s="15" t="n">
        <v>61.27</v>
      </c>
      <c r="H410" t="n">
        <v>1</v>
      </c>
      <c r="I410" s="14" t="n">
        <v>2200</v>
      </c>
      <c r="J410" s="15" t="n">
        <v>2.05</v>
      </c>
      <c r="K410" s="15" t="n">
        <v>105</v>
      </c>
      <c r="L410" s="15" t="inlineStr">
        <is>
          <t>Under-represented</t>
        </is>
      </c>
      <c r="M410" s="15">
        <f>IFERROR((F410-E410)/E410*100,0)</f>
        <v/>
      </c>
      <c r="N410" s="14">
        <f>F410-I410</f>
        <v/>
      </c>
      <c r="O410" s="14" t="n"/>
    </row>
    <row r="411">
      <c r="A411" t="inlineStr">
        <is>
          <t>CON-410</t>
        </is>
      </c>
      <c r="B411" t="inlineStr">
        <is>
          <t>Andhra Pradesh</t>
        </is>
      </c>
      <c r="C411" t="inlineStr">
        <is>
          <t>Andhra_Dist_410</t>
        </is>
      </c>
      <c r="D411" t="inlineStr">
        <is>
          <t>ST</t>
        </is>
      </c>
      <c r="E411" s="14" t="n">
        <v>3779</v>
      </c>
      <c r="F411" s="14" t="n">
        <v>6058</v>
      </c>
      <c r="G411" s="15" t="n">
        <v>63.23</v>
      </c>
      <c r="H411" t="n">
        <v>1</v>
      </c>
      <c r="I411" s="14" t="n">
        <v>2200</v>
      </c>
      <c r="J411" s="15" t="n">
        <v>2.75</v>
      </c>
      <c r="K411" s="15" t="n">
        <v>175</v>
      </c>
      <c r="L411" s="15" t="inlineStr">
        <is>
          <t>Under-represented</t>
        </is>
      </c>
      <c r="M411" s="15">
        <f>IFERROR((F411-E411)/E411*100,0)</f>
        <v/>
      </c>
      <c r="N411" s="14">
        <f>F411-I411</f>
        <v/>
      </c>
      <c r="O411" s="14" t="n"/>
    </row>
    <row r="412">
      <c r="A412" t="inlineStr">
        <is>
          <t>CON-411</t>
        </is>
      </c>
      <c r="B412" t="inlineStr">
        <is>
          <t>Gujarat</t>
        </is>
      </c>
      <c r="C412" t="inlineStr">
        <is>
          <t>Gujarat_Dist_411</t>
        </is>
      </c>
      <c r="D412" t="inlineStr">
        <is>
          <t>General</t>
        </is>
      </c>
      <c r="E412" s="14" t="n">
        <v>2050</v>
      </c>
      <c r="F412" s="14" t="n">
        <v>3377</v>
      </c>
      <c r="G412" s="15" t="n">
        <v>64.55</v>
      </c>
      <c r="H412" t="n">
        <v>1</v>
      </c>
      <c r="I412" s="14" t="n">
        <v>2200</v>
      </c>
      <c r="J412" s="15" t="n">
        <v>1.53</v>
      </c>
      <c r="K412" s="15" t="n">
        <v>53</v>
      </c>
      <c r="L412" s="15" t="inlineStr">
        <is>
          <t>Under-represented</t>
        </is>
      </c>
      <c r="M412" s="15">
        <f>IFERROR((F412-E412)/E412*100,0)</f>
        <v/>
      </c>
      <c r="N412" s="14">
        <f>F412-I412</f>
        <v/>
      </c>
      <c r="O412" s="14" t="n"/>
    </row>
    <row r="413">
      <c r="A413" t="inlineStr">
        <is>
          <t>CON-412</t>
        </is>
      </c>
      <c r="B413" t="inlineStr">
        <is>
          <t>Telangana</t>
        </is>
      </c>
      <c r="C413" t="inlineStr">
        <is>
          <t>Telangana_Dist_412</t>
        </is>
      </c>
      <c r="D413" t="inlineStr">
        <is>
          <t>General</t>
        </is>
      </c>
      <c r="E413" s="14" t="n">
        <v>2040</v>
      </c>
      <c r="F413" s="14" t="n">
        <v>3560</v>
      </c>
      <c r="G413" s="15" t="n">
        <v>59.84</v>
      </c>
      <c r="H413" t="n">
        <v>1</v>
      </c>
      <c r="I413" s="14" t="n">
        <v>2200</v>
      </c>
      <c r="J413" s="15" t="n">
        <v>1.62</v>
      </c>
      <c r="K413" s="15" t="n">
        <v>62</v>
      </c>
      <c r="L413" s="15" t="inlineStr">
        <is>
          <t>Under-represented</t>
        </is>
      </c>
      <c r="M413" s="15">
        <f>IFERROR((F413-E413)/E413*100,0)</f>
        <v/>
      </c>
      <c r="N413" s="14">
        <f>F413-I413</f>
        <v/>
      </c>
      <c r="O413" s="14" t="n"/>
    </row>
    <row r="414">
      <c r="A414" t="inlineStr">
        <is>
          <t>CON-413</t>
        </is>
      </c>
      <c r="B414" t="inlineStr">
        <is>
          <t>West Bengal</t>
        </is>
      </c>
      <c r="C414" t="inlineStr">
        <is>
          <t>West_Dist_413</t>
        </is>
      </c>
      <c r="D414" t="inlineStr">
        <is>
          <t>ST</t>
        </is>
      </c>
      <c r="E414" s="14" t="n">
        <v>1527</v>
      </c>
      <c r="F414" s="14" t="n">
        <v>2434</v>
      </c>
      <c r="G414" s="15" t="n">
        <v>78.95</v>
      </c>
      <c r="H414" t="n">
        <v>1</v>
      </c>
      <c r="I414" s="14" t="n">
        <v>2200</v>
      </c>
      <c r="J414" s="15" t="n">
        <v>1.11</v>
      </c>
      <c r="K414" s="15" t="n">
        <v>11</v>
      </c>
      <c r="L414" s="15" t="inlineStr">
        <is>
          <t>Balanced</t>
        </is>
      </c>
      <c r="M414" s="15">
        <f>IFERROR((F414-E414)/E414*100,0)</f>
        <v/>
      </c>
      <c r="N414" s="14">
        <f>F414-I414</f>
        <v/>
      </c>
      <c r="O414" s="14" t="n"/>
    </row>
    <row r="415">
      <c r="A415" t="inlineStr">
        <is>
          <t>CON-414</t>
        </is>
      </c>
      <c r="B415" t="inlineStr">
        <is>
          <t>Uttar Pradesh</t>
        </is>
      </c>
      <c r="C415" t="inlineStr">
        <is>
          <t>Uttar_Dist_414</t>
        </is>
      </c>
      <c r="D415" t="inlineStr">
        <is>
          <t>General</t>
        </is>
      </c>
      <c r="E415" s="14" t="n">
        <v>2427</v>
      </c>
      <c r="F415" s="14" t="n">
        <v>3363</v>
      </c>
      <c r="G415" s="15" t="n">
        <v>76.45999999999999</v>
      </c>
      <c r="H415" t="n">
        <v>1</v>
      </c>
      <c r="I415" s="14" t="n">
        <v>2200</v>
      </c>
      <c r="J415" s="15" t="n">
        <v>1.53</v>
      </c>
      <c r="K415" s="15" t="n">
        <v>53</v>
      </c>
      <c r="L415" s="15" t="inlineStr">
        <is>
          <t>Under-represented</t>
        </is>
      </c>
      <c r="M415" s="15">
        <f>IFERROR((F415-E415)/E415*100,0)</f>
        <v/>
      </c>
      <c r="N415" s="14">
        <f>F415-I415</f>
        <v/>
      </c>
      <c r="O415" s="14" t="n"/>
    </row>
    <row r="416">
      <c r="A416" t="inlineStr">
        <is>
          <t>CON-415</t>
        </is>
      </c>
      <c r="B416" t="inlineStr">
        <is>
          <t>Tamil Nadu</t>
        </is>
      </c>
      <c r="C416" t="inlineStr">
        <is>
          <t>Tamil_Dist_415</t>
        </is>
      </c>
      <c r="D416" t="inlineStr">
        <is>
          <t>General</t>
        </is>
      </c>
      <c r="E416" s="14" t="n">
        <v>2845</v>
      </c>
      <c r="F416" s="14" t="n">
        <v>4884</v>
      </c>
      <c r="G416" s="15" t="n">
        <v>55.38</v>
      </c>
      <c r="H416" t="n">
        <v>1</v>
      </c>
      <c r="I416" s="14" t="n">
        <v>2200</v>
      </c>
      <c r="J416" s="15" t="n">
        <v>2.22</v>
      </c>
      <c r="K416" s="15" t="n">
        <v>122</v>
      </c>
      <c r="L416" s="15" t="inlineStr">
        <is>
          <t>Under-represented</t>
        </is>
      </c>
      <c r="M416" s="15">
        <f>IFERROR((F416-E416)/E416*100,0)</f>
        <v/>
      </c>
      <c r="N416" s="14">
        <f>F416-I416</f>
        <v/>
      </c>
      <c r="O416" s="14" t="n"/>
    </row>
    <row r="417">
      <c r="A417" t="inlineStr">
        <is>
          <t>CON-416</t>
        </is>
      </c>
      <c r="B417" t="inlineStr">
        <is>
          <t>Andhra Pradesh</t>
        </is>
      </c>
      <c r="C417" t="inlineStr">
        <is>
          <t>Andhra_Dist_416</t>
        </is>
      </c>
      <c r="D417" t="inlineStr">
        <is>
          <t>SC</t>
        </is>
      </c>
      <c r="E417" s="14" t="n">
        <v>1896</v>
      </c>
      <c r="F417" s="14" t="n">
        <v>2908</v>
      </c>
      <c r="G417" s="15" t="n">
        <v>84.45999999999999</v>
      </c>
      <c r="H417" t="n">
        <v>1</v>
      </c>
      <c r="I417" s="14" t="n">
        <v>2200</v>
      </c>
      <c r="J417" s="15" t="n">
        <v>1.32</v>
      </c>
      <c r="K417" s="15" t="n">
        <v>32</v>
      </c>
      <c r="L417" s="15" t="inlineStr">
        <is>
          <t>Under-represented</t>
        </is>
      </c>
      <c r="M417" s="15">
        <f>IFERROR((F417-E417)/E417*100,0)</f>
        <v/>
      </c>
      <c r="N417" s="14">
        <f>F417-I417</f>
        <v/>
      </c>
      <c r="O417" s="14" t="n"/>
    </row>
    <row r="418">
      <c r="A418" t="inlineStr">
        <is>
          <t>CON-417</t>
        </is>
      </c>
      <c r="B418" t="inlineStr">
        <is>
          <t>Bihar</t>
        </is>
      </c>
      <c r="C418" t="inlineStr">
        <is>
          <t>Bihar_Dist_417</t>
        </is>
      </c>
      <c r="D418" t="inlineStr">
        <is>
          <t>General</t>
        </is>
      </c>
      <c r="E418" s="14" t="n">
        <v>2277</v>
      </c>
      <c r="F418" s="14" t="n">
        <v>3099</v>
      </c>
      <c r="G418" s="15" t="n">
        <v>62.79</v>
      </c>
      <c r="H418" t="n">
        <v>1</v>
      </c>
      <c r="I418" s="14" t="n">
        <v>2200</v>
      </c>
      <c r="J418" s="15" t="n">
        <v>1.41</v>
      </c>
      <c r="K418" s="15" t="n">
        <v>41</v>
      </c>
      <c r="L418" s="15" t="inlineStr">
        <is>
          <t>Under-represented</t>
        </is>
      </c>
      <c r="M418" s="15">
        <f>IFERROR((F418-E418)/E418*100,0)</f>
        <v/>
      </c>
      <c r="N418" s="14">
        <f>F418-I418</f>
        <v/>
      </c>
      <c r="O418" s="14" t="n"/>
    </row>
    <row r="419">
      <c r="A419" t="inlineStr">
        <is>
          <t>CON-418</t>
        </is>
      </c>
      <c r="B419" t="inlineStr">
        <is>
          <t>Maharashtra</t>
        </is>
      </c>
      <c r="C419" t="inlineStr">
        <is>
          <t>Maharashtra_Dist_418</t>
        </is>
      </c>
      <c r="D419" t="inlineStr">
        <is>
          <t>General</t>
        </is>
      </c>
      <c r="E419" s="14" t="n">
        <v>1580</v>
      </c>
      <c r="F419" s="14" t="n">
        <v>2717</v>
      </c>
      <c r="G419" s="15" t="n">
        <v>57.48</v>
      </c>
      <c r="H419" t="n">
        <v>1</v>
      </c>
      <c r="I419" s="14" t="n">
        <v>2200</v>
      </c>
      <c r="J419" s="15" t="n">
        <v>1.24</v>
      </c>
      <c r="K419" s="15" t="n">
        <v>24</v>
      </c>
      <c r="L419" s="15" t="inlineStr">
        <is>
          <t>Balanced</t>
        </is>
      </c>
      <c r="M419" s="15">
        <f>IFERROR((F419-E419)/E419*100,0)</f>
        <v/>
      </c>
      <c r="N419" s="14">
        <f>F419-I419</f>
        <v/>
      </c>
      <c r="O419" s="14" t="n"/>
    </row>
    <row r="420">
      <c r="A420" t="inlineStr">
        <is>
          <t>CON-419</t>
        </is>
      </c>
      <c r="B420" t="inlineStr">
        <is>
          <t>West Bengal</t>
        </is>
      </c>
      <c r="C420" t="inlineStr">
        <is>
          <t>West_Dist_419</t>
        </is>
      </c>
      <c r="D420" t="inlineStr">
        <is>
          <t>General</t>
        </is>
      </c>
      <c r="E420" s="14" t="n">
        <v>2625</v>
      </c>
      <c r="F420" s="14" t="n">
        <v>3327</v>
      </c>
      <c r="G420" s="15" t="n">
        <v>71.66</v>
      </c>
      <c r="H420" t="n">
        <v>1</v>
      </c>
      <c r="I420" s="14" t="n">
        <v>2200</v>
      </c>
      <c r="J420" s="15" t="n">
        <v>1.51</v>
      </c>
      <c r="K420" s="15" t="n">
        <v>51</v>
      </c>
      <c r="L420" s="15" t="inlineStr">
        <is>
          <t>Under-represented</t>
        </is>
      </c>
      <c r="M420" s="15">
        <f>IFERROR((F420-E420)/E420*100,0)</f>
        <v/>
      </c>
      <c r="N420" s="14">
        <f>F420-I420</f>
        <v/>
      </c>
      <c r="O420" s="14" t="n"/>
    </row>
    <row r="421">
      <c r="A421" t="inlineStr">
        <is>
          <t>CON-420</t>
        </is>
      </c>
      <c r="B421" t="inlineStr">
        <is>
          <t>Telangana</t>
        </is>
      </c>
      <c r="C421" t="inlineStr">
        <is>
          <t>Telangana_Dist_420</t>
        </is>
      </c>
      <c r="D421" t="inlineStr">
        <is>
          <t>General</t>
        </is>
      </c>
      <c r="E421" s="14" t="n">
        <v>1819</v>
      </c>
      <c r="F421" s="14" t="n">
        <v>2441</v>
      </c>
      <c r="G421" s="15" t="n">
        <v>72.70999999999999</v>
      </c>
      <c r="H421" t="n">
        <v>1</v>
      </c>
      <c r="I421" s="14" t="n">
        <v>2200</v>
      </c>
      <c r="J421" s="15" t="n">
        <v>1.11</v>
      </c>
      <c r="K421" s="15" t="n">
        <v>11</v>
      </c>
      <c r="L421" s="15" t="inlineStr">
        <is>
          <t>Balanced</t>
        </is>
      </c>
      <c r="M421" s="15">
        <f>IFERROR((F421-E421)/E421*100,0)</f>
        <v/>
      </c>
      <c r="N421" s="14">
        <f>F421-I421</f>
        <v/>
      </c>
      <c r="O421" s="14" t="n"/>
    </row>
    <row r="422">
      <c r="A422" t="inlineStr">
        <is>
          <t>CON-421</t>
        </is>
      </c>
      <c r="B422" t="inlineStr">
        <is>
          <t>Telangana</t>
        </is>
      </c>
      <c r="C422" t="inlineStr">
        <is>
          <t>Telangana_Dist_421</t>
        </is>
      </c>
      <c r="D422" t="inlineStr">
        <is>
          <t>General</t>
        </is>
      </c>
      <c r="E422" s="14" t="n">
        <v>2039</v>
      </c>
      <c r="F422" s="14" t="n">
        <v>2583</v>
      </c>
      <c r="G422" s="15" t="n">
        <v>72.95</v>
      </c>
      <c r="H422" t="n">
        <v>1</v>
      </c>
      <c r="I422" s="14" t="n">
        <v>2200</v>
      </c>
      <c r="J422" s="15" t="n">
        <v>1.17</v>
      </c>
      <c r="K422" s="15" t="n">
        <v>17</v>
      </c>
      <c r="L422" s="15" t="inlineStr">
        <is>
          <t>Balanced</t>
        </is>
      </c>
      <c r="M422" s="15">
        <f>IFERROR((F422-E422)/E422*100,0)</f>
        <v/>
      </c>
      <c r="N422" s="14">
        <f>F422-I422</f>
        <v/>
      </c>
      <c r="O422" s="14" t="n"/>
    </row>
    <row r="423">
      <c r="A423" t="inlineStr">
        <is>
          <t>CON-422</t>
        </is>
      </c>
      <c r="B423" t="inlineStr">
        <is>
          <t>Uttar Pradesh</t>
        </is>
      </c>
      <c r="C423" t="inlineStr">
        <is>
          <t>Uttar_Dist_422</t>
        </is>
      </c>
      <c r="D423" t="inlineStr">
        <is>
          <t>General</t>
        </is>
      </c>
      <c r="E423" s="14" t="n">
        <v>2060</v>
      </c>
      <c r="F423" s="14" t="n">
        <v>2691</v>
      </c>
      <c r="G423" s="15" t="n">
        <v>74.47</v>
      </c>
      <c r="H423" t="n">
        <v>1</v>
      </c>
      <c r="I423" s="14" t="n">
        <v>2200</v>
      </c>
      <c r="J423" s="15" t="n">
        <v>1.22</v>
      </c>
      <c r="K423" s="15" t="n">
        <v>22</v>
      </c>
      <c r="L423" s="15" t="inlineStr">
        <is>
          <t>Balanced</t>
        </is>
      </c>
      <c r="M423" s="15">
        <f>IFERROR((F423-E423)/E423*100,0)</f>
        <v/>
      </c>
      <c r="N423" s="14">
        <f>F423-I423</f>
        <v/>
      </c>
      <c r="O423" s="14" t="n"/>
    </row>
    <row r="424">
      <c r="A424" t="inlineStr">
        <is>
          <t>CON-423</t>
        </is>
      </c>
      <c r="B424" t="inlineStr">
        <is>
          <t>Uttar Pradesh</t>
        </is>
      </c>
      <c r="C424" t="inlineStr">
        <is>
          <t>Uttar_Dist_423</t>
        </is>
      </c>
      <c r="D424" t="inlineStr">
        <is>
          <t>General</t>
        </is>
      </c>
      <c r="E424" s="14" t="n">
        <v>2572</v>
      </c>
      <c r="F424" s="14" t="n">
        <v>4493</v>
      </c>
      <c r="G424" s="15" t="n">
        <v>56.88</v>
      </c>
      <c r="H424" t="n">
        <v>1</v>
      </c>
      <c r="I424" s="14" t="n">
        <v>2200</v>
      </c>
      <c r="J424" s="15" t="n">
        <v>2.04</v>
      </c>
      <c r="K424" s="15" t="n">
        <v>104</v>
      </c>
      <c r="L424" s="15" t="inlineStr">
        <is>
          <t>Under-represented</t>
        </is>
      </c>
      <c r="M424" s="15">
        <f>IFERROR((F424-E424)/E424*100,0)</f>
        <v/>
      </c>
      <c r="N424" s="14">
        <f>F424-I424</f>
        <v/>
      </c>
      <c r="O424" s="14" t="n"/>
    </row>
    <row r="425">
      <c r="A425" t="inlineStr">
        <is>
          <t>CON-424</t>
        </is>
      </c>
      <c r="B425" t="inlineStr">
        <is>
          <t>Uttar Pradesh</t>
        </is>
      </c>
      <c r="C425" t="inlineStr">
        <is>
          <t>Uttar_Dist_424</t>
        </is>
      </c>
      <c r="D425" t="inlineStr">
        <is>
          <t>General</t>
        </is>
      </c>
      <c r="E425" s="14" t="n">
        <v>1573</v>
      </c>
      <c r="F425" s="14" t="n">
        <v>2259</v>
      </c>
      <c r="G425" s="15" t="n">
        <v>70.84999999999999</v>
      </c>
      <c r="H425" t="n">
        <v>1</v>
      </c>
      <c r="I425" s="14" t="n">
        <v>2200</v>
      </c>
      <c r="J425" s="15" t="n">
        <v>1.03</v>
      </c>
      <c r="K425" s="15" t="n">
        <v>3</v>
      </c>
      <c r="L425" s="15" t="inlineStr">
        <is>
          <t>Balanced</t>
        </is>
      </c>
      <c r="M425" s="15">
        <f>IFERROR((F425-E425)/E425*100,0)</f>
        <v/>
      </c>
      <c r="N425" s="14">
        <f>F425-I425</f>
        <v/>
      </c>
      <c r="O425" s="14" t="n"/>
    </row>
    <row r="426">
      <c r="A426" t="inlineStr">
        <is>
          <t>CON-425</t>
        </is>
      </c>
      <c r="B426" t="inlineStr">
        <is>
          <t>Kerala</t>
        </is>
      </c>
      <c r="C426" t="inlineStr">
        <is>
          <t>Kerala_Dist_425</t>
        </is>
      </c>
      <c r="D426" t="inlineStr">
        <is>
          <t>SC</t>
        </is>
      </c>
      <c r="E426" s="14" t="n">
        <v>2878</v>
      </c>
      <c r="F426" s="14" t="n">
        <v>4455</v>
      </c>
      <c r="G426" s="15" t="n">
        <v>72.51000000000001</v>
      </c>
      <c r="H426" t="n">
        <v>1</v>
      </c>
      <c r="I426" s="14" t="n">
        <v>2200</v>
      </c>
      <c r="J426" s="15" t="n">
        <v>2.02</v>
      </c>
      <c r="K426" s="15" t="n">
        <v>102</v>
      </c>
      <c r="L426" s="15" t="inlineStr">
        <is>
          <t>Under-represented</t>
        </is>
      </c>
      <c r="M426" s="15">
        <f>IFERROR((F426-E426)/E426*100,0)</f>
        <v/>
      </c>
      <c r="N426" s="14">
        <f>F426-I426</f>
        <v/>
      </c>
      <c r="O426" s="14" t="n"/>
    </row>
    <row r="427">
      <c r="A427" t="inlineStr">
        <is>
          <t>CON-426</t>
        </is>
      </c>
      <c r="B427" t="inlineStr">
        <is>
          <t>West Bengal</t>
        </is>
      </c>
      <c r="C427" t="inlineStr">
        <is>
          <t>West_Dist_426</t>
        </is>
      </c>
      <c r="D427" t="inlineStr">
        <is>
          <t>SC</t>
        </is>
      </c>
      <c r="E427" s="14" t="n">
        <v>1219</v>
      </c>
      <c r="F427" s="14" t="n">
        <v>1754</v>
      </c>
      <c r="G427" s="15" t="n">
        <v>70.84999999999999</v>
      </c>
      <c r="H427" t="n">
        <v>1</v>
      </c>
      <c r="I427" s="14" t="n">
        <v>2200</v>
      </c>
      <c r="J427" s="15" t="n">
        <v>0.8</v>
      </c>
      <c r="K427" s="15" t="n">
        <v>20</v>
      </c>
      <c r="L427" s="15" t="inlineStr">
        <is>
          <t>Balanced</t>
        </is>
      </c>
      <c r="M427" s="15">
        <f>IFERROR((F427-E427)/E427*100,0)</f>
        <v/>
      </c>
      <c r="N427" s="14">
        <f>F427-I427</f>
        <v/>
      </c>
      <c r="O427" s="14" t="n"/>
    </row>
    <row r="428">
      <c r="A428" t="inlineStr">
        <is>
          <t>CON-427</t>
        </is>
      </c>
      <c r="B428" t="inlineStr">
        <is>
          <t>Bihar</t>
        </is>
      </c>
      <c r="C428" t="inlineStr">
        <is>
          <t>Bihar_Dist_427</t>
        </is>
      </c>
      <c r="D428" t="inlineStr">
        <is>
          <t>General</t>
        </is>
      </c>
      <c r="E428" s="14" t="n">
        <v>3402</v>
      </c>
      <c r="F428" s="14" t="n">
        <v>4811</v>
      </c>
      <c r="G428" s="15" t="n">
        <v>60.75</v>
      </c>
      <c r="H428" t="n">
        <v>1</v>
      </c>
      <c r="I428" s="14" t="n">
        <v>2200</v>
      </c>
      <c r="J428" s="15" t="n">
        <v>2.19</v>
      </c>
      <c r="K428" s="15" t="n">
        <v>119</v>
      </c>
      <c r="L428" s="15" t="inlineStr">
        <is>
          <t>Under-represented</t>
        </is>
      </c>
      <c r="M428" s="15">
        <f>IFERROR((F428-E428)/E428*100,0)</f>
        <v/>
      </c>
      <c r="N428" s="14">
        <f>F428-I428</f>
        <v/>
      </c>
      <c r="O428" s="14" t="n"/>
    </row>
    <row r="429">
      <c r="A429" t="inlineStr">
        <is>
          <t>CON-428</t>
        </is>
      </c>
      <c r="B429" t="inlineStr">
        <is>
          <t>Kerala</t>
        </is>
      </c>
      <c r="C429" t="inlineStr">
        <is>
          <t>Kerala_Dist_428</t>
        </is>
      </c>
      <c r="D429" t="inlineStr">
        <is>
          <t>SC</t>
        </is>
      </c>
      <c r="E429" s="14" t="n">
        <v>2007</v>
      </c>
      <c r="F429" s="14" t="n">
        <v>2790</v>
      </c>
      <c r="G429" s="15" t="n">
        <v>67.23</v>
      </c>
      <c r="H429" t="n">
        <v>1</v>
      </c>
      <c r="I429" s="14" t="n">
        <v>2200</v>
      </c>
      <c r="J429" s="15" t="n">
        <v>1.27</v>
      </c>
      <c r="K429" s="15" t="n">
        <v>27</v>
      </c>
      <c r="L429" s="15" t="inlineStr">
        <is>
          <t>Under-represented</t>
        </is>
      </c>
      <c r="M429" s="15">
        <f>IFERROR((F429-E429)/E429*100,0)</f>
        <v/>
      </c>
      <c r="N429" s="14">
        <f>F429-I429</f>
        <v/>
      </c>
      <c r="O429" s="14" t="n"/>
    </row>
    <row r="430">
      <c r="A430" t="inlineStr">
        <is>
          <t>CON-429</t>
        </is>
      </c>
      <c r="B430" t="inlineStr">
        <is>
          <t>Uttar Pradesh</t>
        </is>
      </c>
      <c r="C430" t="inlineStr">
        <is>
          <t>Uttar_Dist_429</t>
        </is>
      </c>
      <c r="D430" t="inlineStr">
        <is>
          <t>General</t>
        </is>
      </c>
      <c r="E430" s="14" t="n">
        <v>2894</v>
      </c>
      <c r="F430" s="14" t="n">
        <v>3647</v>
      </c>
      <c r="G430" s="15" t="n">
        <v>80.48999999999999</v>
      </c>
      <c r="H430" t="n">
        <v>1</v>
      </c>
      <c r="I430" s="14" t="n">
        <v>2200</v>
      </c>
      <c r="J430" s="15" t="n">
        <v>1.66</v>
      </c>
      <c r="K430" s="15" t="n">
        <v>66</v>
      </c>
      <c r="L430" s="15" t="inlineStr">
        <is>
          <t>Under-represented</t>
        </is>
      </c>
      <c r="M430" s="15">
        <f>IFERROR((F430-E430)/E430*100,0)</f>
        <v/>
      </c>
      <c r="N430" s="14">
        <f>F430-I430</f>
        <v/>
      </c>
      <c r="O430" s="14" t="n"/>
    </row>
    <row r="431">
      <c r="A431" t="inlineStr">
        <is>
          <t>CON-430</t>
        </is>
      </c>
      <c r="B431" t="inlineStr">
        <is>
          <t>Gujarat</t>
        </is>
      </c>
      <c r="C431" t="inlineStr">
        <is>
          <t>Gujarat_Dist_430</t>
        </is>
      </c>
      <c r="D431" t="inlineStr">
        <is>
          <t>General</t>
        </is>
      </c>
      <c r="E431" s="14" t="n">
        <v>1790</v>
      </c>
      <c r="F431" s="14" t="n">
        <v>2715</v>
      </c>
      <c r="G431" s="15" t="n">
        <v>65.43000000000001</v>
      </c>
      <c r="H431" t="n">
        <v>1</v>
      </c>
      <c r="I431" s="14" t="n">
        <v>2200</v>
      </c>
      <c r="J431" s="15" t="n">
        <v>1.23</v>
      </c>
      <c r="K431" s="15" t="n">
        <v>23</v>
      </c>
      <c r="L431" s="15" t="inlineStr">
        <is>
          <t>Balanced</t>
        </is>
      </c>
      <c r="M431" s="15">
        <f>IFERROR((F431-E431)/E431*100,0)</f>
        <v/>
      </c>
      <c r="N431" s="14">
        <f>F431-I431</f>
        <v/>
      </c>
      <c r="O431" s="14" t="n"/>
    </row>
    <row r="432">
      <c r="A432" t="inlineStr">
        <is>
          <t>CON-431</t>
        </is>
      </c>
      <c r="B432" t="inlineStr">
        <is>
          <t>Gujarat</t>
        </is>
      </c>
      <c r="C432" t="inlineStr">
        <is>
          <t>Gujarat_Dist_431</t>
        </is>
      </c>
      <c r="D432" t="inlineStr">
        <is>
          <t>SC</t>
        </is>
      </c>
      <c r="E432" s="14" t="n">
        <v>3357</v>
      </c>
      <c r="F432" s="14" t="n">
        <v>4953</v>
      </c>
      <c r="G432" s="15" t="n">
        <v>57.85</v>
      </c>
      <c r="H432" t="n">
        <v>1</v>
      </c>
      <c r="I432" s="14" t="n">
        <v>2200</v>
      </c>
      <c r="J432" s="15" t="n">
        <v>2.25</v>
      </c>
      <c r="K432" s="15" t="n">
        <v>125</v>
      </c>
      <c r="L432" s="15" t="inlineStr">
        <is>
          <t>Under-represented</t>
        </is>
      </c>
      <c r="M432" s="15">
        <f>IFERROR((F432-E432)/E432*100,0)</f>
        <v/>
      </c>
      <c r="N432" s="14">
        <f>F432-I432</f>
        <v/>
      </c>
      <c r="O432" s="14" t="n"/>
    </row>
    <row r="433">
      <c r="A433" t="inlineStr">
        <is>
          <t>CON-432</t>
        </is>
      </c>
      <c r="B433" t="inlineStr">
        <is>
          <t>Karnataka</t>
        </is>
      </c>
      <c r="C433" t="inlineStr">
        <is>
          <t>Karnataka_Dist_432</t>
        </is>
      </c>
      <c r="D433" t="inlineStr">
        <is>
          <t>SC</t>
        </is>
      </c>
      <c r="E433" s="14" t="n">
        <v>3010</v>
      </c>
      <c r="F433" s="14" t="n">
        <v>4328</v>
      </c>
      <c r="G433" s="15" t="n">
        <v>62.64</v>
      </c>
      <c r="H433" t="n">
        <v>1</v>
      </c>
      <c r="I433" s="14" t="n">
        <v>2200</v>
      </c>
      <c r="J433" s="15" t="n">
        <v>1.97</v>
      </c>
      <c r="K433" s="15" t="n">
        <v>97</v>
      </c>
      <c r="L433" s="15" t="inlineStr">
        <is>
          <t>Under-represented</t>
        </is>
      </c>
      <c r="M433" s="15">
        <f>IFERROR((F433-E433)/E433*100,0)</f>
        <v/>
      </c>
      <c r="N433" s="14">
        <f>F433-I433</f>
        <v/>
      </c>
      <c r="O433" s="14" t="n"/>
    </row>
    <row r="434">
      <c r="A434" t="inlineStr">
        <is>
          <t>CON-433</t>
        </is>
      </c>
      <c r="B434" t="inlineStr">
        <is>
          <t>Bihar</t>
        </is>
      </c>
      <c r="C434" t="inlineStr">
        <is>
          <t>Bihar_Dist_433</t>
        </is>
      </c>
      <c r="D434" t="inlineStr">
        <is>
          <t>General</t>
        </is>
      </c>
      <c r="E434" s="14" t="n">
        <v>2927</v>
      </c>
      <c r="F434" s="14" t="n">
        <v>4632</v>
      </c>
      <c r="G434" s="15" t="n">
        <v>78.70999999999999</v>
      </c>
      <c r="H434" t="n">
        <v>1</v>
      </c>
      <c r="I434" s="14" t="n">
        <v>2200</v>
      </c>
      <c r="J434" s="15" t="n">
        <v>2.11</v>
      </c>
      <c r="K434" s="15" t="n">
        <v>111</v>
      </c>
      <c r="L434" s="15" t="inlineStr">
        <is>
          <t>Under-represented</t>
        </is>
      </c>
      <c r="M434" s="15">
        <f>IFERROR((F434-E434)/E434*100,0)</f>
        <v/>
      </c>
      <c r="N434" s="14">
        <f>F434-I434</f>
        <v/>
      </c>
      <c r="O434" s="14" t="n"/>
    </row>
    <row r="435">
      <c r="A435" t="inlineStr">
        <is>
          <t>CON-434</t>
        </is>
      </c>
      <c r="B435" t="inlineStr">
        <is>
          <t>Andhra Pradesh</t>
        </is>
      </c>
      <c r="C435" t="inlineStr">
        <is>
          <t>Andhra_Dist_434</t>
        </is>
      </c>
      <c r="D435" t="inlineStr">
        <is>
          <t>General</t>
        </is>
      </c>
      <c r="E435" s="14" t="n">
        <v>2417</v>
      </c>
      <c r="F435" s="14" t="n">
        <v>3098</v>
      </c>
      <c r="G435" s="15" t="n">
        <v>72.33</v>
      </c>
      <c r="H435" t="n">
        <v>1</v>
      </c>
      <c r="I435" s="14" t="n">
        <v>2200</v>
      </c>
      <c r="J435" s="15" t="n">
        <v>1.41</v>
      </c>
      <c r="K435" s="15" t="n">
        <v>41</v>
      </c>
      <c r="L435" s="15" t="inlineStr">
        <is>
          <t>Under-represented</t>
        </is>
      </c>
      <c r="M435" s="15">
        <f>IFERROR((F435-E435)/E435*100,0)</f>
        <v/>
      </c>
      <c r="N435" s="14">
        <f>F435-I435</f>
        <v/>
      </c>
      <c r="O435" s="14" t="n"/>
    </row>
    <row r="436">
      <c r="A436" t="inlineStr">
        <is>
          <t>CON-435</t>
        </is>
      </c>
      <c r="B436" t="inlineStr">
        <is>
          <t>Gujarat</t>
        </is>
      </c>
      <c r="C436" t="inlineStr">
        <is>
          <t>Gujarat_Dist_435</t>
        </is>
      </c>
      <c r="D436" t="inlineStr">
        <is>
          <t>General</t>
        </is>
      </c>
      <c r="E436" s="14" t="n">
        <v>3486</v>
      </c>
      <c r="F436" s="14" t="n">
        <v>5308</v>
      </c>
      <c r="G436" s="15" t="n">
        <v>57.17</v>
      </c>
      <c r="H436" t="n">
        <v>1</v>
      </c>
      <c r="I436" s="14" t="n">
        <v>2200</v>
      </c>
      <c r="J436" s="15" t="n">
        <v>2.41</v>
      </c>
      <c r="K436" s="15" t="n">
        <v>141</v>
      </c>
      <c r="L436" s="15" t="inlineStr">
        <is>
          <t>Under-represented</t>
        </is>
      </c>
      <c r="M436" s="15">
        <f>IFERROR((F436-E436)/E436*100,0)</f>
        <v/>
      </c>
      <c r="N436" s="14">
        <f>F436-I436</f>
        <v/>
      </c>
      <c r="O436" s="14" t="n"/>
    </row>
    <row r="437">
      <c r="A437" t="inlineStr">
        <is>
          <t>CON-436</t>
        </is>
      </c>
      <c r="B437" t="inlineStr">
        <is>
          <t>Andhra Pradesh</t>
        </is>
      </c>
      <c r="C437" t="inlineStr">
        <is>
          <t>Andhra_Dist_436</t>
        </is>
      </c>
      <c r="D437" t="inlineStr">
        <is>
          <t>General</t>
        </is>
      </c>
      <c r="E437" s="14" t="n">
        <v>2693</v>
      </c>
      <c r="F437" s="14" t="n">
        <v>4269</v>
      </c>
      <c r="G437" s="15" t="n">
        <v>65.90000000000001</v>
      </c>
      <c r="H437" t="n">
        <v>1</v>
      </c>
      <c r="I437" s="14" t="n">
        <v>2200</v>
      </c>
      <c r="J437" s="15" t="n">
        <v>1.94</v>
      </c>
      <c r="K437" s="15" t="n">
        <v>94</v>
      </c>
      <c r="L437" s="15" t="inlineStr">
        <is>
          <t>Under-represented</t>
        </is>
      </c>
      <c r="M437" s="15">
        <f>IFERROR((F437-E437)/E437*100,0)</f>
        <v/>
      </c>
      <c r="N437" s="14">
        <f>F437-I437</f>
        <v/>
      </c>
      <c r="O437" s="14" t="n"/>
    </row>
    <row r="438">
      <c r="A438" t="inlineStr">
        <is>
          <t>CON-437</t>
        </is>
      </c>
      <c r="B438" t="inlineStr">
        <is>
          <t>Telangana</t>
        </is>
      </c>
      <c r="C438" t="inlineStr">
        <is>
          <t>Telangana_Dist_437</t>
        </is>
      </c>
      <c r="D438" t="inlineStr">
        <is>
          <t>General</t>
        </is>
      </c>
      <c r="E438" s="14" t="n">
        <v>1896</v>
      </c>
      <c r="F438" s="14" t="n">
        <v>3301</v>
      </c>
      <c r="G438" s="15" t="n">
        <v>59.88</v>
      </c>
      <c r="H438" t="n">
        <v>1</v>
      </c>
      <c r="I438" s="14" t="n">
        <v>2200</v>
      </c>
      <c r="J438" s="15" t="n">
        <v>1.5</v>
      </c>
      <c r="K438" s="15" t="n">
        <v>50</v>
      </c>
      <c r="L438" s="15" t="inlineStr">
        <is>
          <t>Under-represented</t>
        </is>
      </c>
      <c r="M438" s="15">
        <f>IFERROR((F438-E438)/E438*100,0)</f>
        <v/>
      </c>
      <c r="N438" s="14">
        <f>F438-I438</f>
        <v/>
      </c>
      <c r="O438" s="14" t="n"/>
    </row>
    <row r="439">
      <c r="A439" t="inlineStr">
        <is>
          <t>CON-438</t>
        </is>
      </c>
      <c r="B439" t="inlineStr">
        <is>
          <t>Bihar</t>
        </is>
      </c>
      <c r="C439" t="inlineStr">
        <is>
          <t>Bihar_Dist_438</t>
        </is>
      </c>
      <c r="D439" t="inlineStr">
        <is>
          <t>General</t>
        </is>
      </c>
      <c r="E439" s="14" t="n">
        <v>2773</v>
      </c>
      <c r="F439" s="14" t="n">
        <v>4379</v>
      </c>
      <c r="G439" s="15" t="n">
        <v>60.03</v>
      </c>
      <c r="H439" t="n">
        <v>1</v>
      </c>
      <c r="I439" s="14" t="n">
        <v>2200</v>
      </c>
      <c r="J439" s="15" t="n">
        <v>1.99</v>
      </c>
      <c r="K439" s="15" t="n">
        <v>99</v>
      </c>
      <c r="L439" s="15" t="inlineStr">
        <is>
          <t>Under-represented</t>
        </is>
      </c>
      <c r="M439" s="15">
        <f>IFERROR((F439-E439)/E439*100,0)</f>
        <v/>
      </c>
      <c r="N439" s="14">
        <f>F439-I439</f>
        <v/>
      </c>
      <c r="O439" s="14" t="n"/>
    </row>
    <row r="440">
      <c r="A440" t="inlineStr">
        <is>
          <t>CON-439</t>
        </is>
      </c>
      <c r="B440" t="inlineStr">
        <is>
          <t>Gujarat</t>
        </is>
      </c>
      <c r="C440" t="inlineStr">
        <is>
          <t>Gujarat_Dist_439</t>
        </is>
      </c>
      <c r="D440" t="inlineStr">
        <is>
          <t>SC</t>
        </is>
      </c>
      <c r="E440" s="14" t="n">
        <v>2398</v>
      </c>
      <c r="F440" s="14" t="n">
        <v>3146</v>
      </c>
      <c r="G440" s="15" t="n">
        <v>65.52</v>
      </c>
      <c r="H440" t="n">
        <v>1</v>
      </c>
      <c r="I440" s="14" t="n">
        <v>2200</v>
      </c>
      <c r="J440" s="15" t="n">
        <v>1.43</v>
      </c>
      <c r="K440" s="15" t="n">
        <v>43</v>
      </c>
      <c r="L440" s="15" t="inlineStr">
        <is>
          <t>Under-represented</t>
        </is>
      </c>
      <c r="M440" s="15">
        <f>IFERROR((F440-E440)/E440*100,0)</f>
        <v/>
      </c>
      <c r="N440" s="14">
        <f>F440-I440</f>
        <v/>
      </c>
      <c r="O440" s="14" t="n"/>
    </row>
    <row r="441">
      <c r="A441" t="inlineStr">
        <is>
          <t>CON-440</t>
        </is>
      </c>
      <c r="B441" t="inlineStr">
        <is>
          <t>West Bengal</t>
        </is>
      </c>
      <c r="C441" t="inlineStr">
        <is>
          <t>West_Dist_440</t>
        </is>
      </c>
      <c r="D441" t="inlineStr">
        <is>
          <t>ST</t>
        </is>
      </c>
      <c r="E441" s="14" t="n">
        <v>1886</v>
      </c>
      <c r="F441" s="14" t="n">
        <v>2942</v>
      </c>
      <c r="G441" s="15" t="n">
        <v>71.34999999999999</v>
      </c>
      <c r="H441" t="n">
        <v>1</v>
      </c>
      <c r="I441" s="14" t="n">
        <v>2200</v>
      </c>
      <c r="J441" s="15" t="n">
        <v>1.34</v>
      </c>
      <c r="K441" s="15" t="n">
        <v>34</v>
      </c>
      <c r="L441" s="15" t="inlineStr">
        <is>
          <t>Under-represented</t>
        </is>
      </c>
      <c r="M441" s="15">
        <f>IFERROR((F441-E441)/E441*100,0)</f>
        <v/>
      </c>
      <c r="N441" s="14">
        <f>F441-I441</f>
        <v/>
      </c>
      <c r="O441" s="14" t="n"/>
    </row>
    <row r="442">
      <c r="A442" t="inlineStr">
        <is>
          <t>CON-441</t>
        </is>
      </c>
      <c r="B442" t="inlineStr">
        <is>
          <t>Bihar</t>
        </is>
      </c>
      <c r="C442" t="inlineStr">
        <is>
          <t>Bihar_Dist_441</t>
        </is>
      </c>
      <c r="D442" t="inlineStr">
        <is>
          <t>General</t>
        </is>
      </c>
      <c r="E442" s="14" t="n">
        <v>1258</v>
      </c>
      <c r="F442" s="14" t="n">
        <v>2091</v>
      </c>
      <c r="G442" s="15" t="n">
        <v>74.54000000000001</v>
      </c>
      <c r="H442" t="n">
        <v>1</v>
      </c>
      <c r="I442" s="14" t="n">
        <v>2200</v>
      </c>
      <c r="J442" s="15" t="n">
        <v>0.95</v>
      </c>
      <c r="K442" s="15" t="n">
        <v>5</v>
      </c>
      <c r="L442" s="15" t="inlineStr">
        <is>
          <t>Balanced</t>
        </is>
      </c>
      <c r="M442" s="15">
        <f>IFERROR((F442-E442)/E442*100,0)</f>
        <v/>
      </c>
      <c r="N442" s="14">
        <f>F442-I442</f>
        <v/>
      </c>
      <c r="O442" s="14" t="n"/>
    </row>
    <row r="443">
      <c r="A443" t="inlineStr">
        <is>
          <t>CON-442</t>
        </is>
      </c>
      <c r="B443" t="inlineStr">
        <is>
          <t>West Bengal</t>
        </is>
      </c>
      <c r="C443" t="inlineStr">
        <is>
          <t>West_Dist_442</t>
        </is>
      </c>
      <c r="D443" t="inlineStr">
        <is>
          <t>General</t>
        </is>
      </c>
      <c r="E443" s="14" t="n">
        <v>2141</v>
      </c>
      <c r="F443" s="14" t="n">
        <v>3010</v>
      </c>
      <c r="G443" s="15" t="n">
        <v>71.73999999999999</v>
      </c>
      <c r="H443" t="n">
        <v>1</v>
      </c>
      <c r="I443" s="14" t="n">
        <v>2200</v>
      </c>
      <c r="J443" s="15" t="n">
        <v>1.37</v>
      </c>
      <c r="K443" s="15" t="n">
        <v>37</v>
      </c>
      <c r="L443" s="15" t="inlineStr">
        <is>
          <t>Under-represented</t>
        </is>
      </c>
      <c r="M443" s="15">
        <f>IFERROR((F443-E443)/E443*100,0)</f>
        <v/>
      </c>
      <c r="N443" s="14">
        <f>F443-I443</f>
        <v/>
      </c>
      <c r="O443" s="14" t="n"/>
    </row>
    <row r="444">
      <c r="A444" t="inlineStr">
        <is>
          <t>CON-443</t>
        </is>
      </c>
      <c r="B444" t="inlineStr">
        <is>
          <t>Tamil Nadu</t>
        </is>
      </c>
      <c r="C444" t="inlineStr">
        <is>
          <t>Tamil_Dist_443</t>
        </is>
      </c>
      <c r="D444" t="inlineStr">
        <is>
          <t>General</t>
        </is>
      </c>
      <c r="E444" s="14" t="n">
        <v>2451</v>
      </c>
      <c r="F444" s="14" t="n">
        <v>3565</v>
      </c>
      <c r="G444" s="15" t="n">
        <v>55.42</v>
      </c>
      <c r="H444" t="n">
        <v>1</v>
      </c>
      <c r="I444" s="14" t="n">
        <v>2200</v>
      </c>
      <c r="J444" s="15" t="n">
        <v>1.62</v>
      </c>
      <c r="K444" s="15" t="n">
        <v>62</v>
      </c>
      <c r="L444" s="15" t="inlineStr">
        <is>
          <t>Under-represented</t>
        </is>
      </c>
      <c r="M444" s="15">
        <f>IFERROR((F444-E444)/E444*100,0)</f>
        <v/>
      </c>
      <c r="N444" s="14">
        <f>F444-I444</f>
        <v/>
      </c>
      <c r="O444" s="14" t="n"/>
    </row>
    <row r="445">
      <c r="A445" t="inlineStr">
        <is>
          <t>CON-444</t>
        </is>
      </c>
      <c r="B445" t="inlineStr">
        <is>
          <t>Telangana</t>
        </is>
      </c>
      <c r="C445" t="inlineStr">
        <is>
          <t>Telangana_Dist_444</t>
        </is>
      </c>
      <c r="D445" t="inlineStr">
        <is>
          <t>SC</t>
        </is>
      </c>
      <c r="E445" s="14" t="n">
        <v>3597</v>
      </c>
      <c r="F445" s="14" t="n">
        <v>5793</v>
      </c>
      <c r="G445" s="15" t="n">
        <v>61.83</v>
      </c>
      <c r="H445" t="n">
        <v>1</v>
      </c>
      <c r="I445" s="14" t="n">
        <v>2200</v>
      </c>
      <c r="J445" s="15" t="n">
        <v>2.63</v>
      </c>
      <c r="K445" s="15" t="n">
        <v>163</v>
      </c>
      <c r="L445" s="15" t="inlineStr">
        <is>
          <t>Under-represented</t>
        </is>
      </c>
      <c r="M445" s="15">
        <f>IFERROR((F445-E445)/E445*100,0)</f>
        <v/>
      </c>
      <c r="N445" s="14">
        <f>F445-I445</f>
        <v/>
      </c>
      <c r="O445" s="14" t="n"/>
    </row>
    <row r="446">
      <c r="A446" t="inlineStr">
        <is>
          <t>CON-445</t>
        </is>
      </c>
      <c r="B446" t="inlineStr">
        <is>
          <t>Uttar Pradesh</t>
        </is>
      </c>
      <c r="C446" t="inlineStr">
        <is>
          <t>Uttar_Dist_445</t>
        </is>
      </c>
      <c r="D446" t="inlineStr">
        <is>
          <t>General</t>
        </is>
      </c>
      <c r="E446" s="14" t="n">
        <v>3502</v>
      </c>
      <c r="F446" s="14" t="n">
        <v>4574</v>
      </c>
      <c r="G446" s="15" t="n">
        <v>83.64</v>
      </c>
      <c r="H446" t="n">
        <v>1</v>
      </c>
      <c r="I446" s="14" t="n">
        <v>2200</v>
      </c>
      <c r="J446" s="15" t="n">
        <v>2.08</v>
      </c>
      <c r="K446" s="15" t="n">
        <v>108</v>
      </c>
      <c r="L446" s="15" t="inlineStr">
        <is>
          <t>Under-represented</t>
        </is>
      </c>
      <c r="M446" s="15">
        <f>IFERROR((F446-E446)/E446*100,0)</f>
        <v/>
      </c>
      <c r="N446" s="14">
        <f>F446-I446</f>
        <v/>
      </c>
      <c r="O446" s="14" t="n"/>
    </row>
    <row r="447">
      <c r="A447" t="inlineStr">
        <is>
          <t>CON-446</t>
        </is>
      </c>
      <c r="B447" t="inlineStr">
        <is>
          <t>Gujarat</t>
        </is>
      </c>
      <c r="C447" t="inlineStr">
        <is>
          <t>Gujarat_Dist_446</t>
        </is>
      </c>
      <c r="D447" t="inlineStr">
        <is>
          <t>General</t>
        </is>
      </c>
      <c r="E447" s="14" t="n">
        <v>1505</v>
      </c>
      <c r="F447" s="14" t="n">
        <v>2423</v>
      </c>
      <c r="G447" s="15" t="n">
        <v>75.34999999999999</v>
      </c>
      <c r="H447" t="n">
        <v>1</v>
      </c>
      <c r="I447" s="14" t="n">
        <v>2200</v>
      </c>
      <c r="J447" s="15" t="n">
        <v>1.1</v>
      </c>
      <c r="K447" s="15" t="n">
        <v>10</v>
      </c>
      <c r="L447" s="15" t="inlineStr">
        <is>
          <t>Balanced</t>
        </is>
      </c>
      <c r="M447" s="15">
        <f>IFERROR((F447-E447)/E447*100,0)</f>
        <v/>
      </c>
      <c r="N447" s="14">
        <f>F447-I447</f>
        <v/>
      </c>
      <c r="O447" s="14" t="n"/>
    </row>
    <row r="448">
      <c r="A448" t="inlineStr">
        <is>
          <t>CON-447</t>
        </is>
      </c>
      <c r="B448" t="inlineStr">
        <is>
          <t>Kerala</t>
        </is>
      </c>
      <c r="C448" t="inlineStr">
        <is>
          <t>Kerala_Dist_447</t>
        </is>
      </c>
      <c r="D448" t="inlineStr">
        <is>
          <t>General</t>
        </is>
      </c>
      <c r="E448" s="14" t="n">
        <v>2656</v>
      </c>
      <c r="F448" s="14" t="n">
        <v>3620</v>
      </c>
      <c r="G448" s="15" t="n">
        <v>70.44</v>
      </c>
      <c r="H448" t="n">
        <v>1</v>
      </c>
      <c r="I448" s="14" t="n">
        <v>2200</v>
      </c>
      <c r="J448" s="15" t="n">
        <v>1.65</v>
      </c>
      <c r="K448" s="15" t="n">
        <v>65</v>
      </c>
      <c r="L448" s="15" t="inlineStr">
        <is>
          <t>Under-represented</t>
        </is>
      </c>
      <c r="M448" s="15">
        <f>IFERROR((F448-E448)/E448*100,0)</f>
        <v/>
      </c>
      <c r="N448" s="14">
        <f>F448-I448</f>
        <v/>
      </c>
      <c r="O448" s="14" t="n"/>
    </row>
    <row r="449">
      <c r="A449" t="inlineStr">
        <is>
          <t>CON-448</t>
        </is>
      </c>
      <c r="B449" t="inlineStr">
        <is>
          <t>Uttar Pradesh</t>
        </is>
      </c>
      <c r="C449" t="inlineStr">
        <is>
          <t>Uttar_Dist_448</t>
        </is>
      </c>
      <c r="D449" t="inlineStr">
        <is>
          <t>General</t>
        </is>
      </c>
      <c r="E449" s="14" t="n">
        <v>1534</v>
      </c>
      <c r="F449" s="14" t="n">
        <v>2303</v>
      </c>
      <c r="G449" s="15" t="n">
        <v>66.86</v>
      </c>
      <c r="H449" t="n">
        <v>1</v>
      </c>
      <c r="I449" s="14" t="n">
        <v>2200</v>
      </c>
      <c r="J449" s="15" t="n">
        <v>1.05</v>
      </c>
      <c r="K449" s="15" t="n">
        <v>5</v>
      </c>
      <c r="L449" s="15" t="inlineStr">
        <is>
          <t>Balanced</t>
        </is>
      </c>
      <c r="M449" s="15">
        <f>IFERROR((F449-E449)/E449*100,0)</f>
        <v/>
      </c>
      <c r="N449" s="14">
        <f>F449-I449</f>
        <v/>
      </c>
      <c r="O449" s="14" t="n"/>
    </row>
    <row r="450">
      <c r="A450" t="inlineStr">
        <is>
          <t>CON-449</t>
        </is>
      </c>
      <c r="B450" t="inlineStr">
        <is>
          <t>Maharashtra</t>
        </is>
      </c>
      <c r="C450" t="inlineStr">
        <is>
          <t>Maharashtra_Dist_449</t>
        </is>
      </c>
      <c r="D450" t="inlineStr">
        <is>
          <t>General</t>
        </is>
      </c>
      <c r="E450" s="14" t="n">
        <v>1550</v>
      </c>
      <c r="F450" s="14" t="n">
        <v>2366</v>
      </c>
      <c r="G450" s="15" t="n">
        <v>72.59</v>
      </c>
      <c r="H450" t="n">
        <v>1</v>
      </c>
      <c r="I450" s="14" t="n">
        <v>2200</v>
      </c>
      <c r="J450" s="15" t="n">
        <v>1.08</v>
      </c>
      <c r="K450" s="15" t="n">
        <v>8</v>
      </c>
      <c r="L450" s="15" t="inlineStr">
        <is>
          <t>Balanced</t>
        </is>
      </c>
      <c r="M450" s="15">
        <f>IFERROR((F450-E450)/E450*100,0)</f>
        <v/>
      </c>
      <c r="N450" s="14">
        <f>F450-I450</f>
        <v/>
      </c>
      <c r="O450" s="14" t="n"/>
    </row>
    <row r="451">
      <c r="A451" t="inlineStr">
        <is>
          <t>CON-450</t>
        </is>
      </c>
      <c r="B451" t="inlineStr">
        <is>
          <t>Maharashtra</t>
        </is>
      </c>
      <c r="C451" t="inlineStr">
        <is>
          <t>Maharashtra_Dist_450</t>
        </is>
      </c>
      <c r="D451" t="inlineStr">
        <is>
          <t>General</t>
        </is>
      </c>
      <c r="E451" s="14" t="n">
        <v>2398</v>
      </c>
      <c r="F451" s="14" t="n">
        <v>3049</v>
      </c>
      <c r="G451" s="15" t="n">
        <v>71.81</v>
      </c>
      <c r="H451" t="n">
        <v>1</v>
      </c>
      <c r="I451" s="14" t="n">
        <v>2200</v>
      </c>
      <c r="J451" s="15" t="n">
        <v>1.39</v>
      </c>
      <c r="K451" s="15" t="n">
        <v>39</v>
      </c>
      <c r="L451" s="15" t="inlineStr">
        <is>
          <t>Under-represented</t>
        </is>
      </c>
      <c r="M451" s="15">
        <f>IFERROR((F451-E451)/E451*100,0)</f>
        <v/>
      </c>
      <c r="N451" s="14">
        <f>F451-I451</f>
        <v/>
      </c>
      <c r="O451" s="14" t="n"/>
    </row>
    <row r="452">
      <c r="A452" t="inlineStr">
        <is>
          <t>CON-451</t>
        </is>
      </c>
      <c r="B452" t="inlineStr">
        <is>
          <t>Andhra Pradesh</t>
        </is>
      </c>
      <c r="C452" t="inlineStr">
        <is>
          <t>Andhra_Dist_451</t>
        </is>
      </c>
      <c r="D452" t="inlineStr">
        <is>
          <t>General</t>
        </is>
      </c>
      <c r="E452" s="14" t="n">
        <v>1430</v>
      </c>
      <c r="F452" s="14" t="n">
        <v>2102</v>
      </c>
      <c r="G452" s="15" t="n">
        <v>62</v>
      </c>
      <c r="H452" t="n">
        <v>1</v>
      </c>
      <c r="I452" s="14" t="n">
        <v>2200</v>
      </c>
      <c r="J452" s="15" t="n">
        <v>0.96</v>
      </c>
      <c r="K452" s="15" t="n">
        <v>4</v>
      </c>
      <c r="L452" s="15" t="inlineStr">
        <is>
          <t>Balanced</t>
        </is>
      </c>
      <c r="M452" s="15">
        <f>IFERROR((F452-E452)/E452*100,0)</f>
        <v/>
      </c>
      <c r="N452" s="14">
        <f>F452-I452</f>
        <v/>
      </c>
      <c r="O452" s="14" t="n"/>
    </row>
    <row r="453">
      <c r="A453" t="inlineStr">
        <is>
          <t>CON-452</t>
        </is>
      </c>
      <c r="B453" t="inlineStr">
        <is>
          <t>Maharashtra</t>
        </is>
      </c>
      <c r="C453" t="inlineStr">
        <is>
          <t>Maharashtra_Dist_452</t>
        </is>
      </c>
      <c r="D453" t="inlineStr">
        <is>
          <t>General</t>
        </is>
      </c>
      <c r="E453" s="14" t="n">
        <v>1589</v>
      </c>
      <c r="F453" s="14" t="n">
        <v>2536</v>
      </c>
      <c r="G453" s="15" t="n">
        <v>67.81999999999999</v>
      </c>
      <c r="H453" t="n">
        <v>1</v>
      </c>
      <c r="I453" s="14" t="n">
        <v>2200</v>
      </c>
      <c r="J453" s="15" t="n">
        <v>1.15</v>
      </c>
      <c r="K453" s="15" t="n">
        <v>15</v>
      </c>
      <c r="L453" s="15" t="inlineStr">
        <is>
          <t>Balanced</t>
        </is>
      </c>
      <c r="M453" s="15">
        <f>IFERROR((F453-E453)/E453*100,0)</f>
        <v/>
      </c>
      <c r="N453" s="14">
        <f>F453-I453</f>
        <v/>
      </c>
      <c r="O453" s="14" t="n"/>
    </row>
    <row r="454">
      <c r="A454" t="inlineStr">
        <is>
          <t>CON-453</t>
        </is>
      </c>
      <c r="B454" t="inlineStr">
        <is>
          <t>Tamil Nadu</t>
        </is>
      </c>
      <c r="C454" t="inlineStr">
        <is>
          <t>Tamil_Dist_453</t>
        </is>
      </c>
      <c r="D454" t="inlineStr">
        <is>
          <t>ST</t>
        </is>
      </c>
      <c r="E454" s="14" t="n">
        <v>1390</v>
      </c>
      <c r="F454" s="14" t="n">
        <v>2324</v>
      </c>
      <c r="G454" s="15" t="n">
        <v>66.77</v>
      </c>
      <c r="H454" t="n">
        <v>1</v>
      </c>
      <c r="I454" s="14" t="n">
        <v>2200</v>
      </c>
      <c r="J454" s="15" t="n">
        <v>1.06</v>
      </c>
      <c r="K454" s="15" t="n">
        <v>6</v>
      </c>
      <c r="L454" s="15" t="inlineStr">
        <is>
          <t>Balanced</t>
        </is>
      </c>
      <c r="M454" s="15">
        <f>IFERROR((F454-E454)/E454*100,0)</f>
        <v/>
      </c>
      <c r="N454" s="14">
        <f>F454-I454</f>
        <v/>
      </c>
      <c r="O454" s="14" t="n"/>
    </row>
    <row r="455">
      <c r="A455" t="inlineStr">
        <is>
          <t>CON-454</t>
        </is>
      </c>
      <c r="B455" t="inlineStr">
        <is>
          <t>Uttar Pradesh</t>
        </is>
      </c>
      <c r="C455" t="inlineStr">
        <is>
          <t>Uttar_Dist_454</t>
        </is>
      </c>
      <c r="D455" t="inlineStr">
        <is>
          <t>ST</t>
        </is>
      </c>
      <c r="E455" s="14" t="n">
        <v>1614</v>
      </c>
      <c r="F455" s="14" t="n">
        <v>2269</v>
      </c>
      <c r="G455" s="15" t="n">
        <v>55.95</v>
      </c>
      <c r="H455" t="n">
        <v>1</v>
      </c>
      <c r="I455" s="14" t="n">
        <v>2200</v>
      </c>
      <c r="J455" s="15" t="n">
        <v>1.03</v>
      </c>
      <c r="K455" s="15" t="n">
        <v>3</v>
      </c>
      <c r="L455" s="15" t="inlineStr">
        <is>
          <t>Balanced</t>
        </is>
      </c>
      <c r="M455" s="15">
        <f>IFERROR((F455-E455)/E455*100,0)</f>
        <v/>
      </c>
      <c r="N455" s="14">
        <f>F455-I455</f>
        <v/>
      </c>
      <c r="O455" s="14" t="n"/>
    </row>
    <row r="456">
      <c r="A456" t="inlineStr">
        <is>
          <t>CON-455</t>
        </is>
      </c>
      <c r="B456" t="inlineStr">
        <is>
          <t>Kerala</t>
        </is>
      </c>
      <c r="C456" t="inlineStr">
        <is>
          <t>Kerala_Dist_455</t>
        </is>
      </c>
      <c r="D456" t="inlineStr">
        <is>
          <t>SC</t>
        </is>
      </c>
      <c r="E456" s="14" t="n">
        <v>1499</v>
      </c>
      <c r="F456" s="14" t="n">
        <v>2199</v>
      </c>
      <c r="G456" s="15" t="n">
        <v>80.20999999999999</v>
      </c>
      <c r="H456" t="n">
        <v>1</v>
      </c>
      <c r="I456" s="14" t="n">
        <v>2200</v>
      </c>
      <c r="J456" s="15" t="n">
        <v>1</v>
      </c>
      <c r="K456" s="15" t="n">
        <v>0</v>
      </c>
      <c r="L456" s="15" t="inlineStr">
        <is>
          <t>Balanced</t>
        </is>
      </c>
      <c r="M456" s="15">
        <f>IFERROR((F456-E456)/E456*100,0)</f>
        <v/>
      </c>
      <c r="N456" s="14">
        <f>F456-I456</f>
        <v/>
      </c>
      <c r="O456" s="14" t="n"/>
    </row>
    <row r="457">
      <c r="A457" t="inlineStr">
        <is>
          <t>CON-456</t>
        </is>
      </c>
      <c r="B457" t="inlineStr">
        <is>
          <t>Tamil Nadu</t>
        </is>
      </c>
      <c r="C457" t="inlineStr">
        <is>
          <t>Tamil_Dist_456</t>
        </is>
      </c>
      <c r="D457" t="inlineStr">
        <is>
          <t>General</t>
        </is>
      </c>
      <c r="E457" s="14" t="n">
        <v>1854</v>
      </c>
      <c r="F457" s="14" t="n">
        <v>3017</v>
      </c>
      <c r="G457" s="15" t="n">
        <v>56.16</v>
      </c>
      <c r="H457" t="n">
        <v>1</v>
      </c>
      <c r="I457" s="14" t="n">
        <v>2200</v>
      </c>
      <c r="J457" s="15" t="n">
        <v>1.37</v>
      </c>
      <c r="K457" s="15" t="n">
        <v>37</v>
      </c>
      <c r="L457" s="15" t="inlineStr">
        <is>
          <t>Under-represented</t>
        </is>
      </c>
      <c r="M457" s="15">
        <f>IFERROR((F457-E457)/E457*100,0)</f>
        <v/>
      </c>
      <c r="N457" s="14">
        <f>F457-I457</f>
        <v/>
      </c>
      <c r="O457" s="14" t="n"/>
    </row>
    <row r="458">
      <c r="A458" t="inlineStr">
        <is>
          <t>CON-457</t>
        </is>
      </c>
      <c r="B458" t="inlineStr">
        <is>
          <t>Uttar Pradesh</t>
        </is>
      </c>
      <c r="C458" t="inlineStr">
        <is>
          <t>Uttar_Dist_457</t>
        </is>
      </c>
      <c r="D458" t="inlineStr">
        <is>
          <t>General</t>
        </is>
      </c>
      <c r="E458" s="14" t="n">
        <v>2449</v>
      </c>
      <c r="F458" s="14" t="n">
        <v>3580</v>
      </c>
      <c r="G458" s="15" t="n">
        <v>68.53</v>
      </c>
      <c r="H458" t="n">
        <v>1</v>
      </c>
      <c r="I458" s="14" t="n">
        <v>2200</v>
      </c>
      <c r="J458" s="15" t="n">
        <v>1.63</v>
      </c>
      <c r="K458" s="15" t="n">
        <v>63</v>
      </c>
      <c r="L458" s="15" t="inlineStr">
        <is>
          <t>Under-represented</t>
        </is>
      </c>
      <c r="M458" s="15">
        <f>IFERROR((F458-E458)/E458*100,0)</f>
        <v/>
      </c>
      <c r="N458" s="14">
        <f>F458-I458</f>
        <v/>
      </c>
      <c r="O458" s="14" t="n"/>
    </row>
    <row r="459">
      <c r="A459" t="inlineStr">
        <is>
          <t>CON-458</t>
        </is>
      </c>
      <c r="B459" t="inlineStr">
        <is>
          <t>Maharashtra</t>
        </is>
      </c>
      <c r="C459" t="inlineStr">
        <is>
          <t>Maharashtra_Dist_458</t>
        </is>
      </c>
      <c r="D459" t="inlineStr">
        <is>
          <t>General</t>
        </is>
      </c>
      <c r="E459" s="14" t="n">
        <v>2176</v>
      </c>
      <c r="F459" s="14" t="n">
        <v>3055</v>
      </c>
      <c r="G459" s="15" t="n">
        <v>80.73</v>
      </c>
      <c r="H459" t="n">
        <v>1</v>
      </c>
      <c r="I459" s="14" t="n">
        <v>2200</v>
      </c>
      <c r="J459" s="15" t="n">
        <v>1.39</v>
      </c>
      <c r="K459" s="15" t="n">
        <v>39</v>
      </c>
      <c r="L459" s="15" t="inlineStr">
        <is>
          <t>Under-represented</t>
        </is>
      </c>
      <c r="M459" s="15">
        <f>IFERROR((F459-E459)/E459*100,0)</f>
        <v/>
      </c>
      <c r="N459" s="14">
        <f>F459-I459</f>
        <v/>
      </c>
      <c r="O459" s="14" t="n"/>
    </row>
    <row r="460">
      <c r="A460" t="inlineStr">
        <is>
          <t>CON-459</t>
        </is>
      </c>
      <c r="B460" t="inlineStr">
        <is>
          <t>Uttar Pradesh</t>
        </is>
      </c>
      <c r="C460" t="inlineStr">
        <is>
          <t>Uttar_Dist_459</t>
        </is>
      </c>
      <c r="D460" t="inlineStr">
        <is>
          <t>General</t>
        </is>
      </c>
      <c r="E460" s="14" t="n">
        <v>1344</v>
      </c>
      <c r="F460" s="14" t="n">
        <v>2200</v>
      </c>
      <c r="G460" s="15" t="n">
        <v>55.17</v>
      </c>
      <c r="H460" t="n">
        <v>1</v>
      </c>
      <c r="I460" s="14" t="n">
        <v>2200</v>
      </c>
      <c r="J460" s="15" t="n">
        <v>1</v>
      </c>
      <c r="K460" s="15" t="n">
        <v>0</v>
      </c>
      <c r="L460" s="15" t="inlineStr">
        <is>
          <t>Balanced</t>
        </is>
      </c>
      <c r="M460" s="15">
        <f>IFERROR((F460-E460)/E460*100,0)</f>
        <v/>
      </c>
      <c r="N460" s="14">
        <f>F460-I460</f>
        <v/>
      </c>
      <c r="O460" s="14" t="n"/>
    </row>
    <row r="461">
      <c r="A461" t="inlineStr">
        <is>
          <t>CON-460</t>
        </is>
      </c>
      <c r="B461" t="inlineStr">
        <is>
          <t>Maharashtra</t>
        </is>
      </c>
      <c r="C461" t="inlineStr">
        <is>
          <t>Maharashtra_Dist_460</t>
        </is>
      </c>
      <c r="D461" t="inlineStr">
        <is>
          <t>General</t>
        </is>
      </c>
      <c r="E461" s="14" t="n">
        <v>2694</v>
      </c>
      <c r="F461" s="14" t="n">
        <v>3442</v>
      </c>
      <c r="G461" s="15" t="n">
        <v>62.92</v>
      </c>
      <c r="H461" t="n">
        <v>1</v>
      </c>
      <c r="I461" s="14" t="n">
        <v>2200</v>
      </c>
      <c r="J461" s="15" t="n">
        <v>1.56</v>
      </c>
      <c r="K461" s="15" t="n">
        <v>56</v>
      </c>
      <c r="L461" s="15" t="inlineStr">
        <is>
          <t>Under-represented</t>
        </is>
      </c>
      <c r="M461" s="15">
        <f>IFERROR((F461-E461)/E461*100,0)</f>
        <v/>
      </c>
      <c r="N461" s="14">
        <f>F461-I461</f>
        <v/>
      </c>
      <c r="O461" s="14" t="n"/>
    </row>
    <row r="462">
      <c r="A462" t="inlineStr">
        <is>
          <t>CON-461</t>
        </is>
      </c>
      <c r="B462" t="inlineStr">
        <is>
          <t>West Bengal</t>
        </is>
      </c>
      <c r="C462" t="inlineStr">
        <is>
          <t>West_Dist_461</t>
        </is>
      </c>
      <c r="D462" t="inlineStr">
        <is>
          <t>General</t>
        </is>
      </c>
      <c r="E462" s="14" t="n">
        <v>3740</v>
      </c>
      <c r="F462" s="14" t="n">
        <v>4715</v>
      </c>
      <c r="G462" s="15" t="n">
        <v>76.59</v>
      </c>
      <c r="H462" t="n">
        <v>1</v>
      </c>
      <c r="I462" s="14" t="n">
        <v>2200</v>
      </c>
      <c r="J462" s="15" t="n">
        <v>2.14</v>
      </c>
      <c r="K462" s="15" t="n">
        <v>114</v>
      </c>
      <c r="L462" s="15" t="inlineStr">
        <is>
          <t>Under-represented</t>
        </is>
      </c>
      <c r="M462" s="15">
        <f>IFERROR((F462-E462)/E462*100,0)</f>
        <v/>
      </c>
      <c r="N462" s="14">
        <f>F462-I462</f>
        <v/>
      </c>
      <c r="O462" s="14" t="n"/>
    </row>
    <row r="463">
      <c r="A463" t="inlineStr">
        <is>
          <t>CON-462</t>
        </is>
      </c>
      <c r="B463" t="inlineStr">
        <is>
          <t>Tamil Nadu</t>
        </is>
      </c>
      <c r="C463" t="inlineStr">
        <is>
          <t>Tamil_Dist_462</t>
        </is>
      </c>
      <c r="D463" t="inlineStr">
        <is>
          <t>General</t>
        </is>
      </c>
      <c r="E463" s="14" t="n">
        <v>3405</v>
      </c>
      <c r="F463" s="14" t="n">
        <v>5601</v>
      </c>
      <c r="G463" s="15" t="n">
        <v>74.79000000000001</v>
      </c>
      <c r="H463" t="n">
        <v>1</v>
      </c>
      <c r="I463" s="14" t="n">
        <v>2200</v>
      </c>
      <c r="J463" s="15" t="n">
        <v>2.55</v>
      </c>
      <c r="K463" s="15" t="n">
        <v>155</v>
      </c>
      <c r="L463" s="15" t="inlineStr">
        <is>
          <t>Under-represented</t>
        </is>
      </c>
      <c r="M463" s="15">
        <f>IFERROR((F463-E463)/E463*100,0)</f>
        <v/>
      </c>
      <c r="N463" s="14">
        <f>F463-I463</f>
        <v/>
      </c>
      <c r="O463" s="14" t="n"/>
    </row>
    <row r="464">
      <c r="A464" t="inlineStr">
        <is>
          <t>CON-463</t>
        </is>
      </c>
      <c r="B464" t="inlineStr">
        <is>
          <t>Bihar</t>
        </is>
      </c>
      <c r="C464" t="inlineStr">
        <is>
          <t>Bihar_Dist_463</t>
        </is>
      </c>
      <c r="D464" t="inlineStr">
        <is>
          <t>General</t>
        </is>
      </c>
      <c r="E464" s="14" t="n">
        <v>2270</v>
      </c>
      <c r="F464" s="14" t="n">
        <v>3555</v>
      </c>
      <c r="G464" s="15" t="n">
        <v>60.92</v>
      </c>
      <c r="H464" t="n">
        <v>1</v>
      </c>
      <c r="I464" s="14" t="n">
        <v>2200</v>
      </c>
      <c r="J464" s="15" t="n">
        <v>1.62</v>
      </c>
      <c r="K464" s="15" t="n">
        <v>62</v>
      </c>
      <c r="L464" s="15" t="inlineStr">
        <is>
          <t>Under-represented</t>
        </is>
      </c>
      <c r="M464" s="15">
        <f>IFERROR((F464-E464)/E464*100,0)</f>
        <v/>
      </c>
      <c r="N464" s="14">
        <f>F464-I464</f>
        <v/>
      </c>
      <c r="O464" s="14" t="n"/>
    </row>
    <row r="465">
      <c r="A465" t="inlineStr">
        <is>
          <t>CON-464</t>
        </is>
      </c>
      <c r="B465" t="inlineStr">
        <is>
          <t>Tamil Nadu</t>
        </is>
      </c>
      <c r="C465" t="inlineStr">
        <is>
          <t>Tamil_Dist_464</t>
        </is>
      </c>
      <c r="D465" t="inlineStr">
        <is>
          <t>General</t>
        </is>
      </c>
      <c r="E465" s="14" t="n">
        <v>1521</v>
      </c>
      <c r="F465" s="14" t="n">
        <v>2577</v>
      </c>
      <c r="G465" s="15" t="n">
        <v>62.18</v>
      </c>
      <c r="H465" t="n">
        <v>1</v>
      </c>
      <c r="I465" s="14" t="n">
        <v>2200</v>
      </c>
      <c r="J465" s="15" t="n">
        <v>1.17</v>
      </c>
      <c r="K465" s="15" t="n">
        <v>17</v>
      </c>
      <c r="L465" s="15" t="inlineStr">
        <is>
          <t>Balanced</t>
        </is>
      </c>
      <c r="M465" s="15">
        <f>IFERROR((F465-E465)/E465*100,0)</f>
        <v/>
      </c>
      <c r="N465" s="14">
        <f>F465-I465</f>
        <v/>
      </c>
      <c r="O465" s="14" t="n"/>
    </row>
    <row r="466">
      <c r="A466" t="inlineStr">
        <is>
          <t>CON-465</t>
        </is>
      </c>
      <c r="B466" t="inlineStr">
        <is>
          <t>Andhra Pradesh</t>
        </is>
      </c>
      <c r="C466" t="inlineStr">
        <is>
          <t>Andhra_Dist_465</t>
        </is>
      </c>
      <c r="D466" t="inlineStr">
        <is>
          <t>General</t>
        </is>
      </c>
      <c r="E466" s="14" t="n">
        <v>2862</v>
      </c>
      <c r="F466" s="14" t="n">
        <v>4397</v>
      </c>
      <c r="G466" s="15" t="n">
        <v>58.85</v>
      </c>
      <c r="H466" t="n">
        <v>1</v>
      </c>
      <c r="I466" s="14" t="n">
        <v>2200</v>
      </c>
      <c r="J466" s="15" t="n">
        <v>2</v>
      </c>
      <c r="K466" s="15" t="n">
        <v>100</v>
      </c>
      <c r="L466" s="15" t="inlineStr">
        <is>
          <t>Under-represented</t>
        </is>
      </c>
      <c r="M466" s="15">
        <f>IFERROR((F466-E466)/E466*100,0)</f>
        <v/>
      </c>
      <c r="N466" s="14">
        <f>F466-I466</f>
        <v/>
      </c>
      <c r="O466" s="14" t="n"/>
    </row>
    <row r="467">
      <c r="A467" t="inlineStr">
        <is>
          <t>CON-466</t>
        </is>
      </c>
      <c r="B467" t="inlineStr">
        <is>
          <t>West Bengal</t>
        </is>
      </c>
      <c r="C467" t="inlineStr">
        <is>
          <t>West_Dist_466</t>
        </is>
      </c>
      <c r="D467" t="inlineStr">
        <is>
          <t>SC</t>
        </is>
      </c>
      <c r="E467" s="14" t="n">
        <v>1715</v>
      </c>
      <c r="F467" s="14" t="n">
        <v>2922</v>
      </c>
      <c r="G467" s="15" t="n">
        <v>55.5</v>
      </c>
      <c r="H467" t="n">
        <v>1</v>
      </c>
      <c r="I467" s="14" t="n">
        <v>2200</v>
      </c>
      <c r="J467" s="15" t="n">
        <v>1.33</v>
      </c>
      <c r="K467" s="15" t="n">
        <v>33</v>
      </c>
      <c r="L467" s="15" t="inlineStr">
        <is>
          <t>Under-represented</t>
        </is>
      </c>
      <c r="M467" s="15">
        <f>IFERROR((F467-E467)/E467*100,0)</f>
        <v/>
      </c>
      <c r="N467" s="14">
        <f>F467-I467</f>
        <v/>
      </c>
      <c r="O467" s="14" t="n"/>
    </row>
    <row r="468">
      <c r="A468" t="inlineStr">
        <is>
          <t>CON-467</t>
        </is>
      </c>
      <c r="B468" t="inlineStr">
        <is>
          <t>Bihar</t>
        </is>
      </c>
      <c r="C468" t="inlineStr">
        <is>
          <t>Bihar_Dist_467</t>
        </is>
      </c>
      <c r="D468" t="inlineStr">
        <is>
          <t>General</t>
        </is>
      </c>
      <c r="E468" s="14" t="n">
        <v>2655</v>
      </c>
      <c r="F468" s="14" t="n">
        <v>3589</v>
      </c>
      <c r="G468" s="15" t="n">
        <v>81.40000000000001</v>
      </c>
      <c r="H468" t="n">
        <v>1</v>
      </c>
      <c r="I468" s="14" t="n">
        <v>2200</v>
      </c>
      <c r="J468" s="15" t="n">
        <v>1.63</v>
      </c>
      <c r="K468" s="15" t="n">
        <v>63</v>
      </c>
      <c r="L468" s="15" t="inlineStr">
        <is>
          <t>Under-represented</t>
        </is>
      </c>
      <c r="M468" s="15">
        <f>IFERROR((F468-E468)/E468*100,0)</f>
        <v/>
      </c>
      <c r="N468" s="14">
        <f>F468-I468</f>
        <v/>
      </c>
      <c r="O468" s="14" t="n"/>
    </row>
    <row r="469">
      <c r="A469" t="inlineStr">
        <is>
          <t>CON-468</t>
        </is>
      </c>
      <c r="B469" t="inlineStr">
        <is>
          <t>Tamil Nadu</t>
        </is>
      </c>
      <c r="C469" t="inlineStr">
        <is>
          <t>Tamil_Dist_468</t>
        </is>
      </c>
      <c r="D469" t="inlineStr">
        <is>
          <t>General</t>
        </is>
      </c>
      <c r="E469" s="14" t="n">
        <v>3787</v>
      </c>
      <c r="F469" s="14" t="n">
        <v>4847</v>
      </c>
      <c r="G469" s="15" t="n">
        <v>55.96</v>
      </c>
      <c r="H469" t="n">
        <v>1</v>
      </c>
      <c r="I469" s="14" t="n">
        <v>2200</v>
      </c>
      <c r="J469" s="15" t="n">
        <v>2.2</v>
      </c>
      <c r="K469" s="15" t="n">
        <v>120</v>
      </c>
      <c r="L469" s="15" t="inlineStr">
        <is>
          <t>Under-represented</t>
        </is>
      </c>
      <c r="M469" s="15">
        <f>IFERROR((F469-E469)/E469*100,0)</f>
        <v/>
      </c>
      <c r="N469" s="14">
        <f>F469-I469</f>
        <v/>
      </c>
      <c r="O469" s="14" t="n"/>
    </row>
    <row r="470">
      <c r="A470" t="inlineStr">
        <is>
          <t>CON-469</t>
        </is>
      </c>
      <c r="B470" t="inlineStr">
        <is>
          <t>Uttar Pradesh</t>
        </is>
      </c>
      <c r="C470" t="inlineStr">
        <is>
          <t>Uttar_Dist_469</t>
        </is>
      </c>
      <c r="D470" t="inlineStr">
        <is>
          <t>General</t>
        </is>
      </c>
      <c r="E470" s="14" t="n">
        <v>1843</v>
      </c>
      <c r="F470" s="14" t="n">
        <v>2541</v>
      </c>
      <c r="G470" s="15" t="n">
        <v>76.81999999999999</v>
      </c>
      <c r="H470" t="n">
        <v>1</v>
      </c>
      <c r="I470" s="14" t="n">
        <v>2200</v>
      </c>
      <c r="J470" s="15" t="n">
        <v>1.16</v>
      </c>
      <c r="K470" s="15" t="n">
        <v>16</v>
      </c>
      <c r="L470" s="15" t="inlineStr">
        <is>
          <t>Balanced</t>
        </is>
      </c>
      <c r="M470" s="15">
        <f>IFERROR((F470-E470)/E470*100,0)</f>
        <v/>
      </c>
      <c r="N470" s="14">
        <f>F470-I470</f>
        <v/>
      </c>
      <c r="O470" s="14" t="n"/>
    </row>
    <row r="471">
      <c r="A471" t="inlineStr">
        <is>
          <t>CON-470</t>
        </is>
      </c>
      <c r="B471" t="inlineStr">
        <is>
          <t>Kerala</t>
        </is>
      </c>
      <c r="C471" t="inlineStr">
        <is>
          <t>Kerala_Dist_470</t>
        </is>
      </c>
      <c r="D471" t="inlineStr">
        <is>
          <t>General</t>
        </is>
      </c>
      <c r="E471" s="14" t="n">
        <v>2214</v>
      </c>
      <c r="F471" s="14" t="n">
        <v>3391</v>
      </c>
      <c r="G471" s="15" t="n">
        <v>71.31</v>
      </c>
      <c r="H471" t="n">
        <v>1</v>
      </c>
      <c r="I471" s="14" t="n">
        <v>2200</v>
      </c>
      <c r="J471" s="15" t="n">
        <v>1.54</v>
      </c>
      <c r="K471" s="15" t="n">
        <v>54</v>
      </c>
      <c r="L471" s="15" t="inlineStr">
        <is>
          <t>Under-represented</t>
        </is>
      </c>
      <c r="M471" s="15">
        <f>IFERROR((F471-E471)/E471*100,0)</f>
        <v/>
      </c>
      <c r="N471" s="14">
        <f>F471-I471</f>
        <v/>
      </c>
      <c r="O471" s="14" t="n"/>
    </row>
    <row r="472">
      <c r="A472" t="inlineStr">
        <is>
          <t>CON-471</t>
        </is>
      </c>
      <c r="B472" t="inlineStr">
        <is>
          <t>Kerala</t>
        </is>
      </c>
      <c r="C472" t="inlineStr">
        <is>
          <t>Kerala_Dist_471</t>
        </is>
      </c>
      <c r="D472" t="inlineStr">
        <is>
          <t>General</t>
        </is>
      </c>
      <c r="E472" s="14" t="n">
        <v>3516</v>
      </c>
      <c r="F472" s="14" t="n">
        <v>4405</v>
      </c>
      <c r="G472" s="15" t="n">
        <v>60.53</v>
      </c>
      <c r="H472" t="n">
        <v>1</v>
      </c>
      <c r="I472" s="14" t="n">
        <v>2200</v>
      </c>
      <c r="J472" s="15" t="n">
        <v>2</v>
      </c>
      <c r="K472" s="15" t="n">
        <v>100</v>
      </c>
      <c r="L472" s="15" t="inlineStr">
        <is>
          <t>Under-represented</t>
        </is>
      </c>
      <c r="M472" s="15">
        <f>IFERROR((F472-E472)/E472*100,0)</f>
        <v/>
      </c>
      <c r="N472" s="14">
        <f>F472-I472</f>
        <v/>
      </c>
      <c r="O472" s="14" t="n"/>
    </row>
    <row r="473">
      <c r="A473" t="inlineStr">
        <is>
          <t>CON-472</t>
        </is>
      </c>
      <c r="B473" t="inlineStr">
        <is>
          <t>Uttar Pradesh</t>
        </is>
      </c>
      <c r="C473" t="inlineStr">
        <is>
          <t>Uttar_Dist_472</t>
        </is>
      </c>
      <c r="D473" t="inlineStr">
        <is>
          <t>General</t>
        </is>
      </c>
      <c r="E473" s="14" t="n">
        <v>2852</v>
      </c>
      <c r="F473" s="14" t="n">
        <v>4136</v>
      </c>
      <c r="G473" s="15" t="n">
        <v>84.33</v>
      </c>
      <c r="H473" t="n">
        <v>1</v>
      </c>
      <c r="I473" s="14" t="n">
        <v>2200</v>
      </c>
      <c r="J473" s="15" t="n">
        <v>1.88</v>
      </c>
      <c r="K473" s="15" t="n">
        <v>88</v>
      </c>
      <c r="L473" s="15" t="inlineStr">
        <is>
          <t>Under-represented</t>
        </is>
      </c>
      <c r="M473" s="15">
        <f>IFERROR((F473-E473)/E473*100,0)</f>
        <v/>
      </c>
      <c r="N473" s="14">
        <f>F473-I473</f>
        <v/>
      </c>
      <c r="O473" s="14" t="n"/>
    </row>
    <row r="474">
      <c r="A474" t="inlineStr">
        <is>
          <t>CON-473</t>
        </is>
      </c>
      <c r="B474" t="inlineStr">
        <is>
          <t>Gujarat</t>
        </is>
      </c>
      <c r="C474" t="inlineStr">
        <is>
          <t>Gujarat_Dist_473</t>
        </is>
      </c>
      <c r="D474" t="inlineStr">
        <is>
          <t>General</t>
        </is>
      </c>
      <c r="E474" s="14" t="n">
        <v>1207</v>
      </c>
      <c r="F474" s="14" t="n">
        <v>1979</v>
      </c>
      <c r="G474" s="15" t="n">
        <v>54.85</v>
      </c>
      <c r="H474" t="n">
        <v>1</v>
      </c>
      <c r="I474" s="14" t="n">
        <v>2200</v>
      </c>
      <c r="J474" s="15" t="n">
        <v>0.9</v>
      </c>
      <c r="K474" s="15" t="n">
        <v>10</v>
      </c>
      <c r="L474" s="15" t="inlineStr">
        <is>
          <t>Balanced</t>
        </is>
      </c>
      <c r="M474" s="15">
        <f>IFERROR((F474-E474)/E474*100,0)</f>
        <v/>
      </c>
      <c r="N474" s="14">
        <f>F474-I474</f>
        <v/>
      </c>
      <c r="O474" s="14" t="n"/>
    </row>
    <row r="475">
      <c r="A475" t="inlineStr">
        <is>
          <t>CON-474</t>
        </is>
      </c>
      <c r="B475" t="inlineStr">
        <is>
          <t>Tamil Nadu</t>
        </is>
      </c>
      <c r="C475" t="inlineStr">
        <is>
          <t>Tamil_Dist_474</t>
        </is>
      </c>
      <c r="D475" t="inlineStr">
        <is>
          <t>General</t>
        </is>
      </c>
      <c r="E475" s="14" t="n">
        <v>3444</v>
      </c>
      <c r="F475" s="14" t="n">
        <v>5312</v>
      </c>
      <c r="G475" s="15" t="n">
        <v>65.38</v>
      </c>
      <c r="H475" t="n">
        <v>1</v>
      </c>
      <c r="I475" s="14" t="n">
        <v>2200</v>
      </c>
      <c r="J475" s="15" t="n">
        <v>2.41</v>
      </c>
      <c r="K475" s="15" t="n">
        <v>141</v>
      </c>
      <c r="L475" s="15" t="inlineStr">
        <is>
          <t>Under-represented</t>
        </is>
      </c>
      <c r="M475" s="15">
        <f>IFERROR((F475-E475)/E475*100,0)</f>
        <v/>
      </c>
      <c r="N475" s="14">
        <f>F475-I475</f>
        <v/>
      </c>
      <c r="O475" s="14" t="n"/>
    </row>
    <row r="476">
      <c r="A476" t="inlineStr">
        <is>
          <t>CON-475</t>
        </is>
      </c>
      <c r="B476" t="inlineStr">
        <is>
          <t>Bihar</t>
        </is>
      </c>
      <c r="C476" t="inlineStr">
        <is>
          <t>Bihar_Dist_475</t>
        </is>
      </c>
      <c r="D476" t="inlineStr">
        <is>
          <t>SC</t>
        </is>
      </c>
      <c r="E476" s="14" t="n">
        <v>1881</v>
      </c>
      <c r="F476" s="14" t="n">
        <v>3267</v>
      </c>
      <c r="G476" s="15" t="n">
        <v>72.09999999999999</v>
      </c>
      <c r="H476" t="n">
        <v>1</v>
      </c>
      <c r="I476" s="14" t="n">
        <v>2200</v>
      </c>
      <c r="J476" s="15" t="n">
        <v>1.49</v>
      </c>
      <c r="K476" s="15" t="n">
        <v>49</v>
      </c>
      <c r="L476" s="15" t="inlineStr">
        <is>
          <t>Under-represented</t>
        </is>
      </c>
      <c r="M476" s="15">
        <f>IFERROR((F476-E476)/E476*100,0)</f>
        <v/>
      </c>
      <c r="N476" s="14">
        <f>F476-I476</f>
        <v/>
      </c>
      <c r="O476" s="14" t="n"/>
    </row>
    <row r="477">
      <c r="A477" t="inlineStr">
        <is>
          <t>CON-476</t>
        </is>
      </c>
      <c r="B477" t="inlineStr">
        <is>
          <t>Andhra Pradesh</t>
        </is>
      </c>
      <c r="C477" t="inlineStr">
        <is>
          <t>Andhra_Dist_476</t>
        </is>
      </c>
      <c r="D477" t="inlineStr">
        <is>
          <t>General</t>
        </is>
      </c>
      <c r="E477" s="14" t="n">
        <v>2263</v>
      </c>
      <c r="F477" s="14" t="n">
        <v>3270</v>
      </c>
      <c r="G477" s="15" t="n">
        <v>71.23999999999999</v>
      </c>
      <c r="H477" t="n">
        <v>1</v>
      </c>
      <c r="I477" s="14" t="n">
        <v>2200</v>
      </c>
      <c r="J477" s="15" t="n">
        <v>1.49</v>
      </c>
      <c r="K477" s="15" t="n">
        <v>49</v>
      </c>
      <c r="L477" s="15" t="inlineStr">
        <is>
          <t>Under-represented</t>
        </is>
      </c>
      <c r="M477" s="15">
        <f>IFERROR((F477-E477)/E477*100,0)</f>
        <v/>
      </c>
      <c r="N477" s="14">
        <f>F477-I477</f>
        <v/>
      </c>
      <c r="O477" s="14" t="n"/>
    </row>
    <row r="478">
      <c r="A478" t="inlineStr">
        <is>
          <t>CON-477</t>
        </is>
      </c>
      <c r="B478" t="inlineStr">
        <is>
          <t>Tamil Nadu</t>
        </is>
      </c>
      <c r="C478" t="inlineStr">
        <is>
          <t>Tamil_Dist_477</t>
        </is>
      </c>
      <c r="D478" t="inlineStr">
        <is>
          <t>General</t>
        </is>
      </c>
      <c r="E478" s="14" t="n">
        <v>2552</v>
      </c>
      <c r="F478" s="14" t="n">
        <v>4121</v>
      </c>
      <c r="G478" s="15" t="n">
        <v>74.09999999999999</v>
      </c>
      <c r="H478" t="n">
        <v>1</v>
      </c>
      <c r="I478" s="14" t="n">
        <v>2200</v>
      </c>
      <c r="J478" s="15" t="n">
        <v>1.87</v>
      </c>
      <c r="K478" s="15" t="n">
        <v>87</v>
      </c>
      <c r="L478" s="15" t="inlineStr">
        <is>
          <t>Under-represented</t>
        </is>
      </c>
      <c r="M478" s="15">
        <f>IFERROR((F478-E478)/E478*100,0)</f>
        <v/>
      </c>
      <c r="N478" s="14">
        <f>F478-I478</f>
        <v/>
      </c>
      <c r="O478" s="14" t="n"/>
    </row>
    <row r="479">
      <c r="A479" t="inlineStr">
        <is>
          <t>CON-478</t>
        </is>
      </c>
      <c r="B479" t="inlineStr">
        <is>
          <t>Maharashtra</t>
        </is>
      </c>
      <c r="C479" t="inlineStr">
        <is>
          <t>Maharashtra_Dist_478</t>
        </is>
      </c>
      <c r="D479" t="inlineStr">
        <is>
          <t>ST</t>
        </is>
      </c>
      <c r="E479" s="14" t="n">
        <v>3696</v>
      </c>
      <c r="F479" s="14" t="n">
        <v>5879</v>
      </c>
      <c r="G479" s="15" t="n">
        <v>59.36</v>
      </c>
      <c r="H479" t="n">
        <v>1</v>
      </c>
      <c r="I479" s="14" t="n">
        <v>2200</v>
      </c>
      <c r="J479" s="15" t="n">
        <v>2.67</v>
      </c>
      <c r="K479" s="15" t="n">
        <v>167</v>
      </c>
      <c r="L479" s="15" t="inlineStr">
        <is>
          <t>Under-represented</t>
        </is>
      </c>
      <c r="M479" s="15">
        <f>IFERROR((F479-E479)/E479*100,0)</f>
        <v/>
      </c>
      <c r="N479" s="14">
        <f>F479-I479</f>
        <v/>
      </c>
      <c r="O479" s="14" t="n"/>
    </row>
    <row r="480">
      <c r="A480" t="inlineStr">
        <is>
          <t>CON-479</t>
        </is>
      </c>
      <c r="B480" t="inlineStr">
        <is>
          <t>Andhra Pradesh</t>
        </is>
      </c>
      <c r="C480" t="inlineStr">
        <is>
          <t>Andhra_Dist_479</t>
        </is>
      </c>
      <c r="D480" t="inlineStr">
        <is>
          <t>General</t>
        </is>
      </c>
      <c r="E480" s="14" t="n">
        <v>1744</v>
      </c>
      <c r="F480" s="14" t="n">
        <v>2881</v>
      </c>
      <c r="G480" s="15" t="n">
        <v>63.55</v>
      </c>
      <c r="H480" t="n">
        <v>1</v>
      </c>
      <c r="I480" s="14" t="n">
        <v>2200</v>
      </c>
      <c r="J480" s="15" t="n">
        <v>1.31</v>
      </c>
      <c r="K480" s="15" t="n">
        <v>31</v>
      </c>
      <c r="L480" s="15" t="inlineStr">
        <is>
          <t>Under-represented</t>
        </is>
      </c>
      <c r="M480" s="15">
        <f>IFERROR((F480-E480)/E480*100,0)</f>
        <v/>
      </c>
      <c r="N480" s="14">
        <f>F480-I480</f>
        <v/>
      </c>
      <c r="O480" s="14" t="n"/>
    </row>
    <row r="481">
      <c r="A481" t="inlineStr">
        <is>
          <t>CON-480</t>
        </is>
      </c>
      <c r="B481" t="inlineStr">
        <is>
          <t>Uttar Pradesh</t>
        </is>
      </c>
      <c r="C481" t="inlineStr">
        <is>
          <t>Uttar_Dist_480</t>
        </is>
      </c>
      <c r="D481" t="inlineStr">
        <is>
          <t>General</t>
        </is>
      </c>
      <c r="E481" s="14" t="n">
        <v>1370</v>
      </c>
      <c r="F481" s="14" t="n">
        <v>1835</v>
      </c>
      <c r="G481" s="15" t="n">
        <v>59.32</v>
      </c>
      <c r="H481" t="n">
        <v>1</v>
      </c>
      <c r="I481" s="14" t="n">
        <v>2200</v>
      </c>
      <c r="J481" s="15" t="n">
        <v>0.83</v>
      </c>
      <c r="K481" s="15" t="n">
        <v>17</v>
      </c>
      <c r="L481" s="15" t="inlineStr">
        <is>
          <t>Balanced</t>
        </is>
      </c>
      <c r="M481" s="15">
        <f>IFERROR((F481-E481)/E481*100,0)</f>
        <v/>
      </c>
      <c r="N481" s="14">
        <f>F481-I481</f>
        <v/>
      </c>
      <c r="O481" s="14" t="n"/>
    </row>
    <row r="482">
      <c r="A482" t="inlineStr">
        <is>
          <t>CON-481</t>
        </is>
      </c>
      <c r="B482" t="inlineStr">
        <is>
          <t>Karnataka</t>
        </is>
      </c>
      <c r="C482" t="inlineStr">
        <is>
          <t>Karnataka_Dist_481</t>
        </is>
      </c>
      <c r="D482" t="inlineStr">
        <is>
          <t>General</t>
        </is>
      </c>
      <c r="E482" s="14" t="n">
        <v>3615</v>
      </c>
      <c r="F482" s="14" t="n">
        <v>5880</v>
      </c>
      <c r="G482" s="15" t="n">
        <v>74.63</v>
      </c>
      <c r="H482" t="n">
        <v>1</v>
      </c>
      <c r="I482" s="14" t="n">
        <v>2200</v>
      </c>
      <c r="J482" s="15" t="n">
        <v>2.67</v>
      </c>
      <c r="K482" s="15" t="n">
        <v>167</v>
      </c>
      <c r="L482" s="15" t="inlineStr">
        <is>
          <t>Under-represented</t>
        </is>
      </c>
      <c r="M482" s="15">
        <f>IFERROR((F482-E482)/E482*100,0)</f>
        <v/>
      </c>
      <c r="N482" s="14">
        <f>F482-I482</f>
        <v/>
      </c>
      <c r="O482" s="14" t="n"/>
    </row>
    <row r="483">
      <c r="A483" t="inlineStr">
        <is>
          <t>CON-482</t>
        </is>
      </c>
      <c r="B483" t="inlineStr">
        <is>
          <t>Gujarat</t>
        </is>
      </c>
      <c r="C483" t="inlineStr">
        <is>
          <t>Gujarat_Dist_482</t>
        </is>
      </c>
      <c r="D483" t="inlineStr">
        <is>
          <t>SC</t>
        </is>
      </c>
      <c r="E483" s="14" t="n">
        <v>3538</v>
      </c>
      <c r="F483" s="14" t="n">
        <v>5980</v>
      </c>
      <c r="G483" s="15" t="n">
        <v>74.44</v>
      </c>
      <c r="H483" t="n">
        <v>1</v>
      </c>
      <c r="I483" s="14" t="n">
        <v>2200</v>
      </c>
      <c r="J483" s="15" t="n">
        <v>2.72</v>
      </c>
      <c r="K483" s="15" t="n">
        <v>172</v>
      </c>
      <c r="L483" s="15" t="inlineStr">
        <is>
          <t>Under-represented</t>
        </is>
      </c>
      <c r="M483" s="15">
        <f>IFERROR((F483-E483)/E483*100,0)</f>
        <v/>
      </c>
      <c r="N483" s="14">
        <f>F483-I483</f>
        <v/>
      </c>
      <c r="O483" s="14" t="n"/>
    </row>
    <row r="484">
      <c r="A484" t="inlineStr">
        <is>
          <t>CON-483</t>
        </is>
      </c>
      <c r="B484" t="inlineStr">
        <is>
          <t>Kerala</t>
        </is>
      </c>
      <c r="C484" t="inlineStr">
        <is>
          <t>Kerala_Dist_483</t>
        </is>
      </c>
      <c r="D484" t="inlineStr">
        <is>
          <t>General</t>
        </is>
      </c>
      <c r="E484" s="14" t="n">
        <v>2953</v>
      </c>
      <c r="F484" s="14" t="n">
        <v>4598</v>
      </c>
      <c r="G484" s="15" t="n">
        <v>64.76000000000001</v>
      </c>
      <c r="H484" t="n">
        <v>1</v>
      </c>
      <c r="I484" s="14" t="n">
        <v>2200</v>
      </c>
      <c r="J484" s="15" t="n">
        <v>2.09</v>
      </c>
      <c r="K484" s="15" t="n">
        <v>109</v>
      </c>
      <c r="L484" s="15" t="inlineStr">
        <is>
          <t>Under-represented</t>
        </is>
      </c>
      <c r="M484" s="15">
        <f>IFERROR((F484-E484)/E484*100,0)</f>
        <v/>
      </c>
      <c r="N484" s="14">
        <f>F484-I484</f>
        <v/>
      </c>
      <c r="O484" s="14" t="n"/>
    </row>
    <row r="485">
      <c r="A485" t="inlineStr">
        <is>
          <t>CON-484</t>
        </is>
      </c>
      <c r="B485" t="inlineStr">
        <is>
          <t>Gujarat</t>
        </is>
      </c>
      <c r="C485" t="inlineStr">
        <is>
          <t>Gujarat_Dist_484</t>
        </is>
      </c>
      <c r="D485" t="inlineStr">
        <is>
          <t>ST</t>
        </is>
      </c>
      <c r="E485" s="14" t="n">
        <v>2586</v>
      </c>
      <c r="F485" s="14" t="n">
        <v>3853</v>
      </c>
      <c r="G485" s="15" t="n">
        <v>58.69</v>
      </c>
      <c r="H485" t="n">
        <v>1</v>
      </c>
      <c r="I485" s="14" t="n">
        <v>2200</v>
      </c>
      <c r="J485" s="15" t="n">
        <v>1.75</v>
      </c>
      <c r="K485" s="15" t="n">
        <v>75</v>
      </c>
      <c r="L485" s="15" t="inlineStr">
        <is>
          <t>Under-represented</t>
        </is>
      </c>
      <c r="M485" s="15">
        <f>IFERROR((F485-E485)/E485*100,0)</f>
        <v/>
      </c>
      <c r="N485" s="14">
        <f>F485-I485</f>
        <v/>
      </c>
      <c r="O485" s="14" t="n"/>
    </row>
    <row r="486">
      <c r="A486" t="inlineStr">
        <is>
          <t>CON-485</t>
        </is>
      </c>
      <c r="B486" t="inlineStr">
        <is>
          <t>Gujarat</t>
        </is>
      </c>
      <c r="C486" t="inlineStr">
        <is>
          <t>Gujarat_Dist_485</t>
        </is>
      </c>
      <c r="D486" t="inlineStr">
        <is>
          <t>General</t>
        </is>
      </c>
      <c r="E486" s="14" t="n">
        <v>3655</v>
      </c>
      <c r="F486" s="14" t="n">
        <v>5426</v>
      </c>
      <c r="G486" s="15" t="n">
        <v>64.31</v>
      </c>
      <c r="H486" t="n">
        <v>1</v>
      </c>
      <c r="I486" s="14" t="n">
        <v>2200</v>
      </c>
      <c r="J486" s="15" t="n">
        <v>2.47</v>
      </c>
      <c r="K486" s="15" t="n">
        <v>147</v>
      </c>
      <c r="L486" s="15" t="inlineStr">
        <is>
          <t>Under-represented</t>
        </is>
      </c>
      <c r="M486" s="15">
        <f>IFERROR((F486-E486)/E486*100,0)</f>
        <v/>
      </c>
      <c r="N486" s="14">
        <f>F486-I486</f>
        <v/>
      </c>
      <c r="O486" s="14" t="n"/>
    </row>
    <row r="487">
      <c r="A487" t="inlineStr">
        <is>
          <t>CON-486</t>
        </is>
      </c>
      <c r="B487" t="inlineStr">
        <is>
          <t>Maharashtra</t>
        </is>
      </c>
      <c r="C487" t="inlineStr">
        <is>
          <t>Maharashtra_Dist_486</t>
        </is>
      </c>
      <c r="D487" t="inlineStr">
        <is>
          <t>General</t>
        </is>
      </c>
      <c r="E487" s="14" t="n">
        <v>2196</v>
      </c>
      <c r="F487" s="14" t="n">
        <v>3456</v>
      </c>
      <c r="G487" s="15" t="n">
        <v>73.72</v>
      </c>
      <c r="H487" t="n">
        <v>1</v>
      </c>
      <c r="I487" s="14" t="n">
        <v>2200</v>
      </c>
      <c r="J487" s="15" t="n">
        <v>1.57</v>
      </c>
      <c r="K487" s="15" t="n">
        <v>57</v>
      </c>
      <c r="L487" s="15" t="inlineStr">
        <is>
          <t>Under-represented</t>
        </is>
      </c>
      <c r="M487" s="15">
        <f>IFERROR((F487-E487)/E487*100,0)</f>
        <v/>
      </c>
      <c r="N487" s="14">
        <f>F487-I487</f>
        <v/>
      </c>
      <c r="O487" s="14" t="n"/>
    </row>
    <row r="488">
      <c r="A488" t="inlineStr">
        <is>
          <t>CON-487</t>
        </is>
      </c>
      <c r="B488" t="inlineStr">
        <is>
          <t>Uttar Pradesh</t>
        </is>
      </c>
      <c r="C488" t="inlineStr">
        <is>
          <t>Uttar_Dist_487</t>
        </is>
      </c>
      <c r="D488" t="inlineStr">
        <is>
          <t>General</t>
        </is>
      </c>
      <c r="E488" s="14" t="n">
        <v>3648</v>
      </c>
      <c r="F488" s="14" t="n">
        <v>5066</v>
      </c>
      <c r="G488" s="15" t="n">
        <v>84</v>
      </c>
      <c r="H488" t="n">
        <v>1</v>
      </c>
      <c r="I488" s="14" t="n">
        <v>2200</v>
      </c>
      <c r="J488" s="15" t="n">
        <v>2.3</v>
      </c>
      <c r="K488" s="15" t="n">
        <v>130</v>
      </c>
      <c r="L488" s="15" t="inlineStr">
        <is>
          <t>Under-represented</t>
        </is>
      </c>
      <c r="M488" s="15">
        <f>IFERROR((F488-E488)/E488*100,0)</f>
        <v/>
      </c>
      <c r="N488" s="14">
        <f>F488-I488</f>
        <v/>
      </c>
      <c r="O488" s="14" t="n"/>
    </row>
    <row r="489">
      <c r="A489" t="inlineStr">
        <is>
          <t>CON-488</t>
        </is>
      </c>
      <c r="B489" t="inlineStr">
        <is>
          <t>Karnataka</t>
        </is>
      </c>
      <c r="C489" t="inlineStr">
        <is>
          <t>Karnataka_Dist_488</t>
        </is>
      </c>
      <c r="D489" t="inlineStr">
        <is>
          <t>General</t>
        </is>
      </c>
      <c r="E489" s="14" t="n">
        <v>1380</v>
      </c>
      <c r="F489" s="14" t="n">
        <v>2245</v>
      </c>
      <c r="G489" s="15" t="n">
        <v>80.31</v>
      </c>
      <c r="H489" t="n">
        <v>1</v>
      </c>
      <c r="I489" s="14" t="n">
        <v>2200</v>
      </c>
      <c r="J489" s="15" t="n">
        <v>1.02</v>
      </c>
      <c r="K489" s="15" t="n">
        <v>2</v>
      </c>
      <c r="L489" s="15" t="inlineStr">
        <is>
          <t>Balanced</t>
        </is>
      </c>
      <c r="M489" s="15">
        <f>IFERROR((F489-E489)/E489*100,0)</f>
        <v/>
      </c>
      <c r="N489" s="14">
        <f>F489-I489</f>
        <v/>
      </c>
      <c r="O489" s="14" t="n"/>
    </row>
    <row r="490">
      <c r="A490" t="inlineStr">
        <is>
          <t>CON-489</t>
        </is>
      </c>
      <c r="B490" t="inlineStr">
        <is>
          <t>Maharashtra</t>
        </is>
      </c>
      <c r="C490" t="inlineStr">
        <is>
          <t>Maharashtra_Dist_489</t>
        </is>
      </c>
      <c r="D490" t="inlineStr">
        <is>
          <t>General</t>
        </is>
      </c>
      <c r="E490" s="14" t="n">
        <v>1637</v>
      </c>
      <c r="F490" s="14" t="n">
        <v>2225</v>
      </c>
      <c r="G490" s="15" t="n">
        <v>76.22</v>
      </c>
      <c r="H490" t="n">
        <v>1</v>
      </c>
      <c r="I490" s="14" t="n">
        <v>2200</v>
      </c>
      <c r="J490" s="15" t="n">
        <v>1.01</v>
      </c>
      <c r="K490" s="15" t="n">
        <v>1</v>
      </c>
      <c r="L490" s="15" t="inlineStr">
        <is>
          <t>Balanced</t>
        </is>
      </c>
      <c r="M490" s="15">
        <f>IFERROR((F490-E490)/E490*100,0)</f>
        <v/>
      </c>
      <c r="N490" s="14">
        <f>F490-I490</f>
        <v/>
      </c>
      <c r="O490" s="14" t="n"/>
    </row>
    <row r="491">
      <c r="A491" t="inlineStr">
        <is>
          <t>CON-490</t>
        </is>
      </c>
      <c r="B491" t="inlineStr">
        <is>
          <t>Karnataka</t>
        </is>
      </c>
      <c r="C491" t="inlineStr">
        <is>
          <t>Karnataka_Dist_490</t>
        </is>
      </c>
      <c r="D491" t="inlineStr">
        <is>
          <t>General</t>
        </is>
      </c>
      <c r="E491" s="14" t="n">
        <v>1210</v>
      </c>
      <c r="F491" s="14" t="n">
        <v>1546</v>
      </c>
      <c r="G491" s="15" t="n">
        <v>83.81</v>
      </c>
      <c r="H491" t="n">
        <v>1</v>
      </c>
      <c r="I491" s="14" t="n">
        <v>2200</v>
      </c>
      <c r="J491" s="15" t="n">
        <v>0.7</v>
      </c>
      <c r="K491" s="15" t="n">
        <v>30</v>
      </c>
      <c r="L491" s="15" t="inlineStr">
        <is>
          <t>Over-represented</t>
        </is>
      </c>
      <c r="M491" s="15">
        <f>IFERROR((F491-E491)/E491*100,0)</f>
        <v/>
      </c>
      <c r="N491" s="14">
        <f>F491-I491</f>
        <v/>
      </c>
      <c r="O491" s="14" t="n"/>
    </row>
    <row r="492">
      <c r="A492" t="inlineStr">
        <is>
          <t>CON-491</t>
        </is>
      </c>
      <c r="B492" t="inlineStr">
        <is>
          <t>Uttar Pradesh</t>
        </is>
      </c>
      <c r="C492" t="inlineStr">
        <is>
          <t>Uttar_Dist_491</t>
        </is>
      </c>
      <c r="D492" t="inlineStr">
        <is>
          <t>General</t>
        </is>
      </c>
      <c r="E492" s="14" t="n">
        <v>2131</v>
      </c>
      <c r="F492" s="14" t="n">
        <v>2840</v>
      </c>
      <c r="G492" s="15" t="n">
        <v>54.64</v>
      </c>
      <c r="H492" t="n">
        <v>1</v>
      </c>
      <c r="I492" s="14" t="n">
        <v>2200</v>
      </c>
      <c r="J492" s="15" t="n">
        <v>1.29</v>
      </c>
      <c r="K492" s="15" t="n">
        <v>29</v>
      </c>
      <c r="L492" s="15" t="inlineStr">
        <is>
          <t>Under-represented</t>
        </is>
      </c>
      <c r="M492" s="15">
        <f>IFERROR((F492-E492)/E492*100,0)</f>
        <v/>
      </c>
      <c r="N492" s="14">
        <f>F492-I492</f>
        <v/>
      </c>
      <c r="O492" s="14" t="n"/>
    </row>
    <row r="493">
      <c r="A493" t="inlineStr">
        <is>
          <t>CON-492</t>
        </is>
      </c>
      <c r="B493" t="inlineStr">
        <is>
          <t>Tamil Nadu</t>
        </is>
      </c>
      <c r="C493" t="inlineStr">
        <is>
          <t>Tamil_Dist_492</t>
        </is>
      </c>
      <c r="D493" t="inlineStr">
        <is>
          <t>SC</t>
        </is>
      </c>
      <c r="E493" s="14" t="n">
        <v>2785</v>
      </c>
      <c r="F493" s="14" t="n">
        <v>3497</v>
      </c>
      <c r="G493" s="15" t="n">
        <v>52.27</v>
      </c>
      <c r="H493" t="n">
        <v>1</v>
      </c>
      <c r="I493" s="14" t="n">
        <v>2200</v>
      </c>
      <c r="J493" s="15" t="n">
        <v>1.59</v>
      </c>
      <c r="K493" s="15" t="n">
        <v>59</v>
      </c>
      <c r="L493" s="15" t="inlineStr">
        <is>
          <t>Under-represented</t>
        </is>
      </c>
      <c r="M493" s="15">
        <f>IFERROR((F493-E493)/E493*100,0)</f>
        <v/>
      </c>
      <c r="N493" s="14">
        <f>F493-I493</f>
        <v/>
      </c>
      <c r="O493" s="14" t="n"/>
    </row>
    <row r="494">
      <c r="A494" t="inlineStr">
        <is>
          <t>CON-493</t>
        </is>
      </c>
      <c r="B494" t="inlineStr">
        <is>
          <t>Maharashtra</t>
        </is>
      </c>
      <c r="C494" t="inlineStr">
        <is>
          <t>Maharashtra_Dist_493</t>
        </is>
      </c>
      <c r="D494" t="inlineStr">
        <is>
          <t>General</t>
        </is>
      </c>
      <c r="E494" s="14" t="n">
        <v>3642</v>
      </c>
      <c r="F494" s="14" t="n">
        <v>5391</v>
      </c>
      <c r="G494" s="15" t="n">
        <v>81.02</v>
      </c>
      <c r="H494" t="n">
        <v>1</v>
      </c>
      <c r="I494" s="14" t="n">
        <v>2200</v>
      </c>
      <c r="J494" s="15" t="n">
        <v>2.45</v>
      </c>
      <c r="K494" s="15" t="n">
        <v>145</v>
      </c>
      <c r="L494" s="15" t="inlineStr">
        <is>
          <t>Under-represented</t>
        </is>
      </c>
      <c r="M494" s="15">
        <f>IFERROR((F494-E494)/E494*100,0)</f>
        <v/>
      </c>
      <c r="N494" s="14">
        <f>F494-I494</f>
        <v/>
      </c>
      <c r="O494" s="14" t="n"/>
    </row>
    <row r="495">
      <c r="A495" t="inlineStr">
        <is>
          <t>CON-494</t>
        </is>
      </c>
      <c r="B495" t="inlineStr">
        <is>
          <t>Bihar</t>
        </is>
      </c>
      <c r="C495" t="inlineStr">
        <is>
          <t>Bihar_Dist_494</t>
        </is>
      </c>
      <c r="D495" t="inlineStr">
        <is>
          <t>General</t>
        </is>
      </c>
      <c r="E495" s="14" t="n">
        <v>2478</v>
      </c>
      <c r="F495" s="14" t="n">
        <v>3725</v>
      </c>
      <c r="G495" s="15" t="n">
        <v>73.41</v>
      </c>
      <c r="H495" t="n">
        <v>1</v>
      </c>
      <c r="I495" s="14" t="n">
        <v>2200</v>
      </c>
      <c r="J495" s="15" t="n">
        <v>1.69</v>
      </c>
      <c r="K495" s="15" t="n">
        <v>69</v>
      </c>
      <c r="L495" s="15" t="inlineStr">
        <is>
          <t>Under-represented</t>
        </is>
      </c>
      <c r="M495" s="15">
        <f>IFERROR((F495-E495)/E495*100,0)</f>
        <v/>
      </c>
      <c r="N495" s="14">
        <f>F495-I495</f>
        <v/>
      </c>
      <c r="O495" s="14" t="n"/>
    </row>
    <row r="496">
      <c r="A496" t="inlineStr">
        <is>
          <t>CON-495</t>
        </is>
      </c>
      <c r="B496" t="inlineStr">
        <is>
          <t>Tamil Nadu</t>
        </is>
      </c>
      <c r="C496" t="inlineStr">
        <is>
          <t>Tamil_Dist_495</t>
        </is>
      </c>
      <c r="D496" t="inlineStr">
        <is>
          <t>General</t>
        </is>
      </c>
      <c r="E496" s="14" t="n">
        <v>1546</v>
      </c>
      <c r="F496" s="14" t="n">
        <v>2202</v>
      </c>
      <c r="G496" s="15" t="n">
        <v>74.31</v>
      </c>
      <c r="H496" t="n">
        <v>1</v>
      </c>
      <c r="I496" s="14" t="n">
        <v>2200</v>
      </c>
      <c r="J496" s="15" t="n">
        <v>1</v>
      </c>
      <c r="K496" s="15" t="n">
        <v>0</v>
      </c>
      <c r="L496" s="15" t="inlineStr">
        <is>
          <t>Balanced</t>
        </is>
      </c>
      <c r="M496" s="15">
        <f>IFERROR((F496-E496)/E496*100,0)</f>
        <v/>
      </c>
      <c r="N496" s="14">
        <f>F496-I496</f>
        <v/>
      </c>
      <c r="O496" s="14" t="n"/>
    </row>
    <row r="497">
      <c r="A497" t="inlineStr">
        <is>
          <t>CON-496</t>
        </is>
      </c>
      <c r="B497" t="inlineStr">
        <is>
          <t>Maharashtra</t>
        </is>
      </c>
      <c r="C497" t="inlineStr">
        <is>
          <t>Maharashtra_Dist_496</t>
        </is>
      </c>
      <c r="D497" t="inlineStr">
        <is>
          <t>General</t>
        </is>
      </c>
      <c r="E497" s="14" t="n">
        <v>1223</v>
      </c>
      <c r="F497" s="14" t="n">
        <v>2068</v>
      </c>
      <c r="G497" s="15" t="n">
        <v>62.1</v>
      </c>
      <c r="H497" t="n">
        <v>1</v>
      </c>
      <c r="I497" s="14" t="n">
        <v>2200</v>
      </c>
      <c r="J497" s="15" t="n">
        <v>0.9399999999999999</v>
      </c>
      <c r="K497" s="15" t="n">
        <v>6</v>
      </c>
      <c r="L497" s="15" t="inlineStr">
        <is>
          <t>Balanced</t>
        </is>
      </c>
      <c r="M497" s="15">
        <f>IFERROR((F497-E497)/E497*100,0)</f>
        <v/>
      </c>
      <c r="N497" s="14">
        <f>F497-I497</f>
        <v/>
      </c>
      <c r="O497" s="14" t="n"/>
    </row>
    <row r="498">
      <c r="A498" t="inlineStr">
        <is>
          <t>CON-497</t>
        </is>
      </c>
      <c r="B498" t="inlineStr">
        <is>
          <t>Maharashtra</t>
        </is>
      </c>
      <c r="C498" t="inlineStr">
        <is>
          <t>Maharashtra_Dist_497</t>
        </is>
      </c>
      <c r="D498" t="inlineStr">
        <is>
          <t>General</t>
        </is>
      </c>
      <c r="E498" s="14" t="n">
        <v>2138</v>
      </c>
      <c r="F498" s="14" t="n">
        <v>3173</v>
      </c>
      <c r="G498" s="15" t="n">
        <v>53.92</v>
      </c>
      <c r="H498" t="n">
        <v>1</v>
      </c>
      <c r="I498" s="14" t="n">
        <v>2200</v>
      </c>
      <c r="J498" s="15" t="n">
        <v>1.44</v>
      </c>
      <c r="K498" s="15" t="n">
        <v>44</v>
      </c>
      <c r="L498" s="15" t="inlineStr">
        <is>
          <t>Under-represented</t>
        </is>
      </c>
      <c r="M498" s="15">
        <f>IFERROR((F498-E498)/E498*100,0)</f>
        <v/>
      </c>
      <c r="N498" s="14">
        <f>F498-I498</f>
        <v/>
      </c>
      <c r="O498" s="14" t="n"/>
    </row>
    <row r="499">
      <c r="A499" t="inlineStr">
        <is>
          <t>CON-498</t>
        </is>
      </c>
      <c r="B499" t="inlineStr">
        <is>
          <t>Kerala</t>
        </is>
      </c>
      <c r="C499" t="inlineStr">
        <is>
          <t>Kerala_Dist_498</t>
        </is>
      </c>
      <c r="D499" t="inlineStr">
        <is>
          <t>General</t>
        </is>
      </c>
      <c r="E499" s="14" t="n">
        <v>3642</v>
      </c>
      <c r="F499" s="14" t="n">
        <v>4650</v>
      </c>
      <c r="G499" s="15" t="n">
        <v>67.25</v>
      </c>
      <c r="H499" t="n">
        <v>1</v>
      </c>
      <c r="I499" s="14" t="n">
        <v>2200</v>
      </c>
      <c r="J499" s="15" t="n">
        <v>2.11</v>
      </c>
      <c r="K499" s="15" t="n">
        <v>111</v>
      </c>
      <c r="L499" s="15" t="inlineStr">
        <is>
          <t>Under-represented</t>
        </is>
      </c>
      <c r="M499" s="15">
        <f>IFERROR((F499-E499)/E499*100,0)</f>
        <v/>
      </c>
      <c r="N499" s="14">
        <f>F499-I499</f>
        <v/>
      </c>
      <c r="O499" s="14" t="n"/>
    </row>
    <row r="500">
      <c r="A500" t="inlineStr">
        <is>
          <t>CON-499</t>
        </is>
      </c>
      <c r="B500" t="inlineStr">
        <is>
          <t>Gujarat</t>
        </is>
      </c>
      <c r="C500" t="inlineStr">
        <is>
          <t>Gujarat_Dist_499</t>
        </is>
      </c>
      <c r="D500" t="inlineStr">
        <is>
          <t>SC</t>
        </is>
      </c>
      <c r="E500" s="14" t="n">
        <v>2343</v>
      </c>
      <c r="F500" s="14" t="n">
        <v>3522</v>
      </c>
      <c r="G500" s="15" t="n">
        <v>62.59</v>
      </c>
      <c r="H500" t="n">
        <v>1</v>
      </c>
      <c r="I500" s="14" t="n">
        <v>2200</v>
      </c>
      <c r="J500" s="15" t="n">
        <v>1.6</v>
      </c>
      <c r="K500" s="15" t="n">
        <v>60</v>
      </c>
      <c r="L500" s="15" t="inlineStr">
        <is>
          <t>Under-represented</t>
        </is>
      </c>
      <c r="M500" s="15">
        <f>IFERROR((F500-E500)/E500*100,0)</f>
        <v/>
      </c>
      <c r="N500" s="14">
        <f>F500-I500</f>
        <v/>
      </c>
      <c r="O500" s="14" t="n"/>
    </row>
    <row r="501">
      <c r="A501" t="inlineStr">
        <is>
          <t>CON-500</t>
        </is>
      </c>
      <c r="B501" t="inlineStr">
        <is>
          <t>Uttar Pradesh</t>
        </is>
      </c>
      <c r="C501" t="inlineStr">
        <is>
          <t>Uttar_Dist_500</t>
        </is>
      </c>
      <c r="D501" t="inlineStr">
        <is>
          <t>General</t>
        </is>
      </c>
      <c r="E501" s="14" t="n">
        <v>2733</v>
      </c>
      <c r="F501" s="14" t="n">
        <v>4299</v>
      </c>
      <c r="G501" s="15" t="n">
        <v>84.44</v>
      </c>
      <c r="H501" t="n">
        <v>1</v>
      </c>
      <c r="I501" s="14" t="n">
        <v>2200</v>
      </c>
      <c r="J501" s="15" t="n">
        <v>1.95</v>
      </c>
      <c r="K501" s="15" t="n">
        <v>95</v>
      </c>
      <c r="L501" s="15" t="inlineStr">
        <is>
          <t>Under-represented</t>
        </is>
      </c>
      <c r="M501" s="15">
        <f>IFERROR((F501-E501)/E501*100,0)</f>
        <v/>
      </c>
      <c r="N501" s="14">
        <f>F501-I501</f>
        <v/>
      </c>
      <c r="O501" s="14" t="n"/>
    </row>
  </sheetData>
  <autoFilter ref="A1:N501"/>
  <conditionalFormatting sqref="M2:M501">
    <cfRule type="cellIs" priority="1" operator="equal" dxfId="0">
      <formula>"Under-represented"</formula>
    </cfRule>
    <cfRule type="cellIs" priority="2" operator="equal" dxfId="1">
      <formula>"Balanced"</formula>
    </cfRule>
    <cfRule type="cellIs" priority="3" operator="equal" dxfId="2">
      <formula>"Over-represented"</formula>
    </cfRule>
  </conditionalFormatting>
  <conditionalFormatting sqref="L2:L501">
    <cfRule type="colorScale" priority="4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6" t="inlineStr">
        <is>
          <t>Dashboard Analysis Tables</t>
        </is>
      </c>
    </row>
    <row r="3">
      <c r="A3" s="17" t="inlineStr">
        <is>
          <t>Representation Status</t>
        </is>
      </c>
      <c r="B3" s="17" t="inlineStr">
        <is>
          <t>Count</t>
        </is>
      </c>
      <c r="D3" s="17" t="inlineStr">
        <is>
          <t>State</t>
        </is>
      </c>
      <c r="E3" s="17" t="inlineStr">
        <is>
          <t>Records</t>
        </is>
      </c>
      <c r="F3" s="17" t="inlineStr">
        <is>
          <t>Avg Disparity</t>
        </is>
      </c>
      <c r="G3" s="17" t="inlineStr">
        <is>
          <t>Avg Projected Pop.</t>
        </is>
      </c>
      <c r="I3" s="17" t="inlineStr">
        <is>
          <t>Type</t>
        </is>
      </c>
      <c r="J3" s="17" t="inlineStr">
        <is>
          <t>Balanced</t>
        </is>
      </c>
      <c r="K3" s="17" t="inlineStr">
        <is>
          <t>Under-represented</t>
        </is>
      </c>
      <c r="L3" s="17" t="inlineStr">
        <is>
          <t>Over-represented</t>
        </is>
      </c>
    </row>
    <row r="4">
      <c r="A4" t="inlineStr">
        <is>
          <t>Balanced</t>
        </is>
      </c>
      <c r="B4">
        <f>COUNTIF(tblDelim[Representation Status],A4)</f>
        <v/>
      </c>
      <c r="D4" t="inlineStr">
        <is>
          <t>Andhra Pradesh</t>
        </is>
      </c>
      <c r="E4">
        <f>COUNTIF(tblDelim[State],D4)</f>
        <v/>
      </c>
      <c r="F4">
        <f>AVERAGEIF(tblDelim[State],D4,tblDelim[Disparity Index (%)])</f>
        <v/>
      </c>
      <c r="G4">
        <f>AVERAGEIF(tblDelim[State],D4,tblDelim[Projected Population (000s)])</f>
        <v/>
      </c>
      <c r="I4" t="inlineStr">
        <is>
          <t>General</t>
        </is>
      </c>
      <c r="J4">
        <f>COUNTIFS(tblDelim[Constituency Type],$I4,tblDelim[Representation Status],J$3)</f>
        <v/>
      </c>
      <c r="K4">
        <f>COUNTIFS(tblDelim[Constituency Type],$I4,tblDelim[Representation Status],K$3)</f>
        <v/>
      </c>
      <c r="L4">
        <f>COUNTIFS(tblDelim[Constituency Type],$I4,tblDelim[Representation Status],L$3)</f>
        <v/>
      </c>
    </row>
    <row r="5">
      <c r="A5" t="inlineStr">
        <is>
          <t>Under-represented</t>
        </is>
      </c>
      <c r="B5">
        <f>COUNTIF(tblDelim[Representation Status],A5)</f>
        <v/>
      </c>
      <c r="D5" t="inlineStr">
        <is>
          <t>Bihar</t>
        </is>
      </c>
      <c r="E5">
        <f>COUNTIF(tblDelim[State],D5)</f>
        <v/>
      </c>
      <c r="F5">
        <f>AVERAGEIF(tblDelim[State],D5,tblDelim[Disparity Index (%)])</f>
        <v/>
      </c>
      <c r="G5">
        <f>AVERAGEIF(tblDelim[State],D5,tblDelim[Projected Population (000s)])</f>
        <v/>
      </c>
      <c r="I5" t="inlineStr">
        <is>
          <t>SC</t>
        </is>
      </c>
      <c r="J5">
        <f>COUNTIFS(tblDelim[Constituency Type],$I5,tblDelim[Representation Status],J$3)</f>
        <v/>
      </c>
      <c r="K5">
        <f>COUNTIFS(tblDelim[Constituency Type],$I5,tblDelim[Representation Status],K$3)</f>
        <v/>
      </c>
      <c r="L5">
        <f>COUNTIFS(tblDelim[Constituency Type],$I5,tblDelim[Representation Status],L$3)</f>
        <v/>
      </c>
    </row>
    <row r="6">
      <c r="A6" t="inlineStr">
        <is>
          <t>Over-represented</t>
        </is>
      </c>
      <c r="B6">
        <f>COUNTIF(tblDelim[Representation Status],A6)</f>
        <v/>
      </c>
      <c r="D6" t="inlineStr">
        <is>
          <t>Gujarat</t>
        </is>
      </c>
      <c r="E6">
        <f>COUNTIF(tblDelim[State],D6)</f>
        <v/>
      </c>
      <c r="F6">
        <f>AVERAGEIF(tblDelim[State],D6,tblDelim[Disparity Index (%)])</f>
        <v/>
      </c>
      <c r="G6">
        <f>AVERAGEIF(tblDelim[State],D6,tblDelim[Projected Population (000s)])</f>
        <v/>
      </c>
      <c r="I6" t="inlineStr">
        <is>
          <t>ST</t>
        </is>
      </c>
      <c r="J6">
        <f>COUNTIFS(tblDelim[Constituency Type],$I6,tblDelim[Representation Status],J$3)</f>
        <v/>
      </c>
      <c r="K6">
        <f>COUNTIFS(tblDelim[Constituency Type],$I6,tblDelim[Representation Status],K$3)</f>
        <v/>
      </c>
      <c r="L6">
        <f>COUNTIFS(tblDelim[Constituency Type],$I6,tblDelim[Representation Status],L$3)</f>
        <v/>
      </c>
    </row>
    <row r="7">
      <c r="D7" t="inlineStr">
        <is>
          <t>Karnataka</t>
        </is>
      </c>
      <c r="E7">
        <f>COUNTIF(tblDelim[State],D7)</f>
        <v/>
      </c>
      <c r="F7">
        <f>AVERAGEIF(tblDelim[State],D7,tblDelim[Disparity Index (%)])</f>
        <v/>
      </c>
      <c r="G7">
        <f>AVERAGEIF(tblDelim[State],D7,tblDelim[Projected Population (000s)])</f>
        <v/>
      </c>
    </row>
    <row r="8">
      <c r="D8" t="inlineStr">
        <is>
          <t>Kerala</t>
        </is>
      </c>
      <c r="E8">
        <f>COUNTIF(tblDelim[State],D8)</f>
        <v/>
      </c>
      <c r="F8">
        <f>AVERAGEIF(tblDelim[State],D8,tblDelim[Disparity Index (%)])</f>
        <v/>
      </c>
      <c r="G8">
        <f>AVERAGEIF(tblDelim[State],D8,tblDelim[Projected Population (000s)])</f>
        <v/>
      </c>
    </row>
    <row r="9">
      <c r="D9" t="inlineStr">
        <is>
          <t>Maharashtra</t>
        </is>
      </c>
      <c r="E9">
        <f>COUNTIF(tblDelim[State],D9)</f>
        <v/>
      </c>
      <c r="F9">
        <f>AVERAGEIF(tblDelim[State],D9,tblDelim[Disparity Index (%)])</f>
        <v/>
      </c>
      <c r="G9">
        <f>AVERAGEIF(tblDelim[State],D9,tblDelim[Projected Population (000s)])</f>
        <v/>
      </c>
    </row>
    <row r="10">
      <c r="D10" t="inlineStr">
        <is>
          <t>Tamil Nadu</t>
        </is>
      </c>
      <c r="E10">
        <f>COUNTIF(tblDelim[State],D10)</f>
        <v/>
      </c>
      <c r="F10">
        <f>AVERAGEIF(tblDelim[State],D10,tblDelim[Disparity Index (%)])</f>
        <v/>
      </c>
      <c r="G10">
        <f>AVERAGEIF(tblDelim[State],D10,tblDelim[Projected Population (000s)])</f>
        <v/>
      </c>
    </row>
    <row r="11">
      <c r="D11" t="inlineStr">
        <is>
          <t>Telangana</t>
        </is>
      </c>
      <c r="E11">
        <f>COUNTIF(tblDelim[State],D11)</f>
        <v/>
      </c>
      <c r="F11">
        <f>AVERAGEIF(tblDelim[State],D11,tblDelim[Disparity Index (%)])</f>
        <v/>
      </c>
      <c r="G11">
        <f>AVERAGEIF(tblDelim[State],D11,tblDelim[Projected Population (000s)])</f>
        <v/>
      </c>
    </row>
    <row r="12">
      <c r="D12" t="inlineStr">
        <is>
          <t>Uttar Pradesh</t>
        </is>
      </c>
      <c r="E12">
        <f>COUNTIF(tblDelim[State],D12)</f>
        <v/>
      </c>
      <c r="F12">
        <f>AVERAGEIF(tblDelim[State],D12,tblDelim[Disparity Index (%)])</f>
        <v/>
      </c>
      <c r="G12">
        <f>AVERAGEIF(tblDelim[State],D12,tblDelim[Projected Population (000s)])</f>
        <v/>
      </c>
    </row>
    <row r="13">
      <c r="D13" t="inlineStr">
        <is>
          <t>West Bengal</t>
        </is>
      </c>
      <c r="E13">
        <f>COUNTIF(tblDelim[State],D13)</f>
        <v/>
      </c>
      <c r="F13">
        <f>AVERAGEIF(tblDelim[State],D13,tblDelim[Disparity Index (%)])</f>
        <v/>
      </c>
      <c r="G13">
        <f>AVERAGEIF(tblDelim[State],D13,tblDelim[Projected Population (000s)])</f>
        <v/>
      </c>
    </row>
    <row r="18">
      <c r="A18" s="18" t="inlineStr">
        <is>
          <t>Top 10 Disparity Records</t>
        </is>
      </c>
    </row>
    <row r="19">
      <c r="A19" s="17" t="inlineStr">
        <is>
          <t>Constituency Name</t>
        </is>
      </c>
      <c r="B19" s="17" t="inlineStr">
        <is>
          <t>State</t>
        </is>
      </c>
      <c r="C19" s="17" t="inlineStr">
        <is>
          <t>Disparity Index (%)</t>
        </is>
      </c>
    </row>
    <row r="20">
      <c r="A20" t="inlineStr">
        <is>
          <t>Tamil_Dist_102</t>
        </is>
      </c>
      <c r="B20" t="inlineStr">
        <is>
          <t>Tamil Nadu</t>
        </is>
      </c>
      <c r="C20" t="n">
        <v>195</v>
      </c>
    </row>
    <row r="21">
      <c r="A21" t="inlineStr">
        <is>
          <t>Uttar_Dist_359</t>
        </is>
      </c>
      <c r="B21" t="inlineStr">
        <is>
          <t>Uttar Pradesh</t>
        </is>
      </c>
      <c r="C21" t="n">
        <v>192</v>
      </c>
    </row>
    <row r="22">
      <c r="A22" t="inlineStr">
        <is>
          <t>Bihar_Dist_134</t>
        </is>
      </c>
      <c r="B22" t="inlineStr">
        <is>
          <t>Bihar</t>
        </is>
      </c>
      <c r="C22" t="n">
        <v>188</v>
      </c>
    </row>
    <row r="23">
      <c r="A23" t="inlineStr">
        <is>
          <t>Andhra_Dist_252</t>
        </is>
      </c>
      <c r="B23" t="inlineStr">
        <is>
          <t>Andhra Pradesh</t>
        </is>
      </c>
      <c r="C23" t="n">
        <v>188</v>
      </c>
    </row>
    <row r="24">
      <c r="A24" t="inlineStr">
        <is>
          <t>Telangana_Dist_293</t>
        </is>
      </c>
      <c r="B24" t="inlineStr">
        <is>
          <t>Telangana</t>
        </is>
      </c>
      <c r="C24" t="n">
        <v>188</v>
      </c>
    </row>
    <row r="25">
      <c r="A25" t="inlineStr">
        <is>
          <t>Gujarat_Dist_236</t>
        </is>
      </c>
      <c r="B25" t="inlineStr">
        <is>
          <t>Gujarat</t>
        </is>
      </c>
      <c r="C25" t="n">
        <v>181</v>
      </c>
    </row>
    <row r="26">
      <c r="A26" t="inlineStr">
        <is>
          <t>Uttar_Dist_339</t>
        </is>
      </c>
      <c r="B26" t="inlineStr">
        <is>
          <t>Uttar Pradesh</t>
        </is>
      </c>
      <c r="C26" t="n">
        <v>180</v>
      </c>
    </row>
    <row r="27">
      <c r="A27" t="inlineStr">
        <is>
          <t>Maharashtra_Dist_182</t>
        </is>
      </c>
      <c r="B27" t="inlineStr">
        <is>
          <t>Maharashtra</t>
        </is>
      </c>
      <c r="C27" t="n">
        <v>178</v>
      </c>
    </row>
    <row r="28">
      <c r="A28" t="inlineStr">
        <is>
          <t>Karnataka_Dist_63</t>
        </is>
      </c>
      <c r="B28" t="inlineStr">
        <is>
          <t>Karnataka</t>
        </is>
      </c>
      <c r="C28" t="n">
        <v>176</v>
      </c>
    </row>
    <row r="29">
      <c r="A29" t="inlineStr">
        <is>
          <t>Telangana_Dist_99</t>
        </is>
      </c>
      <c r="B29" t="inlineStr">
        <is>
          <t>Telangana</t>
        </is>
      </c>
      <c r="C29" t="n">
        <v>176</v>
      </c>
    </row>
  </sheetData>
  <mergeCells count="2">
    <mergeCell ref="A18:C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2026-09-27T10:03:30Z</dcterms:created>
  <dcterms:modified xmlns:dcterms="http://purl.org/dc/terms/" xmlns:xsi="http://www.w3.org/2001/XMLSchema-instance" xsi:type="dcterms:W3CDTF">2026-09-27T10:03:30Z</dcterms:modified>
</cp:coreProperties>
</file>